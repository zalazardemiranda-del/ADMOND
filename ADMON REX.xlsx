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4ea40cfe1bdf45/Documentos/CENTRAL/"/>
    </mc:Choice>
  </mc:AlternateContent>
  <xr:revisionPtr revIDLastSave="108" documentId="8_{291624A6-3F6C-4D18-A25C-ADA59E993835}" xr6:coauthVersionLast="47" xr6:coauthVersionMax="47" xr10:uidLastSave="{602B38EA-E724-47A5-BB7F-283DFB4DFD35}"/>
  <bookViews>
    <workbookView xWindow="-108" yWindow="-108" windowWidth="23256" windowHeight="12456" activeTab="1" xr2:uid="{9697CF30-101F-4501-88BA-2F18458486EE}"/>
  </bookViews>
  <sheets>
    <sheet name="Administracion" sheetId="1" r:id="rId1"/>
    <sheet name="Pagos de la quincena" sheetId="2" r:id="rId2"/>
    <sheet name="Consecutivo 2026" sheetId="3" r:id="rId3"/>
    <sheet name="Hoja1" sheetId="4" r:id="rId4"/>
  </sheets>
  <definedNames>
    <definedName name="_xlnm.Print_Area" localSheetId="1">'Pagos de la quincena'!$A$1:$O$92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56" i="3" l="1"/>
  <c r="J102" i="2"/>
  <c r="I102" i="2"/>
  <c r="H102" i="2"/>
  <c r="G102" i="2"/>
  <c r="S255" i="3"/>
  <c r="O255" i="3"/>
  <c r="H255" i="3"/>
  <c r="G255" i="3"/>
  <c r="S254" i="3"/>
  <c r="O254" i="3"/>
  <c r="H254" i="3"/>
  <c r="G254" i="3"/>
  <c r="S253" i="3"/>
  <c r="O253" i="3"/>
  <c r="G253" i="3"/>
  <c r="H253" i="3" s="1"/>
  <c r="S252" i="3"/>
  <c r="O252" i="3"/>
  <c r="G252" i="3"/>
  <c r="H252" i="3" s="1"/>
  <c r="S251" i="3"/>
  <c r="O251" i="3"/>
  <c r="H251" i="3"/>
  <c r="G251" i="3"/>
  <c r="S250" i="3"/>
  <c r="O250" i="3"/>
  <c r="G250" i="3"/>
  <c r="H250" i="3" s="1"/>
  <c r="S249" i="3"/>
  <c r="O249" i="3"/>
  <c r="G249" i="3"/>
  <c r="H249" i="3" s="1"/>
  <c r="S248" i="3"/>
  <c r="O248" i="3"/>
  <c r="G248" i="3"/>
  <c r="H248" i="3" s="1"/>
  <c r="S247" i="3"/>
  <c r="O247" i="3"/>
  <c r="H247" i="3"/>
  <c r="G247" i="3"/>
  <c r="S246" i="3"/>
  <c r="O246" i="3"/>
  <c r="H246" i="3"/>
  <c r="G246" i="3"/>
  <c r="S245" i="3"/>
  <c r="O245" i="3"/>
  <c r="G245" i="3"/>
  <c r="H245" i="3" s="1"/>
  <c r="S244" i="3"/>
  <c r="O244" i="3"/>
  <c r="G244" i="3"/>
  <c r="H244" i="3" s="1"/>
  <c r="S243" i="3"/>
  <c r="O243" i="3"/>
  <c r="H243" i="3"/>
  <c r="G243" i="3"/>
  <c r="S242" i="3"/>
  <c r="O242" i="3"/>
  <c r="G242" i="3"/>
  <c r="H242" i="3" s="1"/>
  <c r="S241" i="3"/>
  <c r="O241" i="3"/>
  <c r="G241" i="3"/>
  <c r="H241" i="3" s="1"/>
  <c r="S240" i="3"/>
  <c r="O240" i="3"/>
  <c r="G240" i="3"/>
  <c r="H240" i="3" s="1"/>
  <c r="S239" i="3"/>
  <c r="O239" i="3"/>
  <c r="H239" i="3"/>
  <c r="G239" i="3"/>
  <c r="S238" i="3"/>
  <c r="O238" i="3"/>
  <c r="H238" i="3"/>
  <c r="G238" i="3"/>
  <c r="S237" i="3"/>
  <c r="O237" i="3"/>
  <c r="G237" i="3"/>
  <c r="H237" i="3" s="1"/>
  <c r="S236" i="3"/>
  <c r="O236" i="3"/>
  <c r="G236" i="3"/>
  <c r="H236" i="3" s="1"/>
  <c r="S235" i="3"/>
  <c r="O235" i="3"/>
  <c r="H235" i="3"/>
  <c r="G235" i="3"/>
  <c r="S234" i="3"/>
  <c r="O234" i="3"/>
  <c r="G234" i="3"/>
  <c r="H234" i="3" s="1"/>
  <c r="S233" i="3"/>
  <c r="O233" i="3"/>
  <c r="G233" i="3"/>
  <c r="H233" i="3" s="1"/>
  <c r="S232" i="3"/>
  <c r="O232" i="3"/>
  <c r="G232" i="3"/>
  <c r="H232" i="3" s="1"/>
  <c r="S231" i="3"/>
  <c r="O231" i="3"/>
  <c r="H231" i="3"/>
  <c r="G231" i="3"/>
  <c r="S230" i="3"/>
  <c r="O230" i="3"/>
  <c r="H230" i="3"/>
  <c r="G230" i="3"/>
  <c r="S229" i="3"/>
  <c r="O229" i="3"/>
  <c r="G229" i="3"/>
  <c r="S228" i="3"/>
  <c r="O228" i="3"/>
  <c r="G228" i="3"/>
  <c r="H228" i="3" s="1"/>
  <c r="S227" i="3"/>
  <c r="O227" i="3"/>
  <c r="H227" i="3"/>
  <c r="G227" i="3"/>
  <c r="S226" i="3"/>
  <c r="O226" i="3"/>
  <c r="G226" i="3"/>
  <c r="H226" i="3" s="1"/>
  <c r="S225" i="3"/>
  <c r="O225" i="3"/>
  <c r="G225" i="3"/>
  <c r="H225" i="3" s="1"/>
  <c r="S224" i="3"/>
  <c r="O224" i="3"/>
  <c r="H224" i="3"/>
  <c r="G224" i="3"/>
  <c r="S223" i="3"/>
  <c r="O223" i="3"/>
  <c r="H223" i="3"/>
  <c r="G223" i="3"/>
  <c r="S222" i="3"/>
  <c r="O222" i="3"/>
  <c r="H222" i="3"/>
  <c r="G222" i="3"/>
  <c r="S221" i="3"/>
  <c r="O221" i="3"/>
  <c r="G221" i="3"/>
  <c r="H221" i="3" s="1"/>
  <c r="S220" i="3"/>
  <c r="O220" i="3"/>
  <c r="G220" i="3"/>
  <c r="H220" i="3" s="1"/>
  <c r="S219" i="3"/>
  <c r="O219" i="3"/>
  <c r="H219" i="3"/>
  <c r="G219" i="3"/>
  <c r="S218" i="3"/>
  <c r="O218" i="3"/>
  <c r="G218" i="3"/>
  <c r="H218" i="3" s="1"/>
  <c r="S217" i="3"/>
  <c r="O217" i="3"/>
  <c r="G217" i="3"/>
  <c r="H217" i="3" s="1"/>
  <c r="S216" i="3"/>
  <c r="O216" i="3"/>
  <c r="G216" i="3"/>
  <c r="H216" i="3" s="1"/>
  <c r="S215" i="3"/>
  <c r="O215" i="3"/>
  <c r="H215" i="3"/>
  <c r="G215" i="3"/>
  <c r="S214" i="3"/>
  <c r="O214" i="3"/>
  <c r="H214" i="3"/>
  <c r="G214" i="3"/>
  <c r="S213" i="3"/>
  <c r="O213" i="3"/>
  <c r="G213" i="3"/>
  <c r="H213" i="3" s="1"/>
  <c r="S212" i="3"/>
  <c r="O212" i="3"/>
  <c r="G212" i="3"/>
  <c r="H212" i="3" s="1"/>
  <c r="S211" i="3"/>
  <c r="O211" i="3"/>
  <c r="H211" i="3"/>
  <c r="G211" i="3"/>
  <c r="S210" i="3"/>
  <c r="O210" i="3"/>
  <c r="G210" i="3"/>
  <c r="H210" i="3" s="1"/>
  <c r="S209" i="3"/>
  <c r="O209" i="3"/>
  <c r="G209" i="3"/>
  <c r="H209" i="3" s="1"/>
  <c r="S208" i="3"/>
  <c r="O208" i="3"/>
  <c r="G208" i="3"/>
  <c r="H208" i="3" s="1"/>
  <c r="S207" i="3"/>
  <c r="O207" i="3"/>
  <c r="H207" i="3"/>
  <c r="G207" i="3"/>
  <c r="S206" i="3"/>
  <c r="O206" i="3"/>
  <c r="H206" i="3"/>
  <c r="G206" i="3"/>
  <c r="S205" i="3"/>
  <c r="O205" i="3"/>
  <c r="G205" i="3"/>
  <c r="H205" i="3" s="1"/>
  <c r="S204" i="3"/>
  <c r="O204" i="3"/>
  <c r="G204" i="3"/>
  <c r="H204" i="3" s="1"/>
  <c r="S203" i="3"/>
  <c r="O203" i="3"/>
  <c r="H203" i="3"/>
  <c r="G203" i="3"/>
  <c r="S202" i="3"/>
  <c r="O202" i="3"/>
  <c r="G202" i="3"/>
  <c r="H202" i="3" s="1"/>
  <c r="S201" i="3"/>
  <c r="O201" i="3"/>
  <c r="G201" i="3"/>
  <c r="H201" i="3" s="1"/>
  <c r="S200" i="3"/>
  <c r="O200" i="3"/>
  <c r="H200" i="3"/>
  <c r="G200" i="3"/>
  <c r="S199" i="3"/>
  <c r="O199" i="3"/>
  <c r="H199" i="3"/>
  <c r="G199" i="3"/>
  <c r="S198" i="3"/>
  <c r="O198" i="3"/>
  <c r="H198" i="3"/>
  <c r="G198" i="3"/>
  <c r="S197" i="3"/>
  <c r="O197" i="3"/>
  <c r="G197" i="3"/>
  <c r="H197" i="3" s="1"/>
  <c r="S196" i="3"/>
  <c r="O196" i="3"/>
  <c r="G196" i="3"/>
  <c r="H196" i="3" s="1"/>
  <c r="S195" i="3"/>
  <c r="O195" i="3"/>
  <c r="H195" i="3"/>
  <c r="G195" i="3"/>
  <c r="O194" i="3"/>
  <c r="H194" i="3"/>
  <c r="G194" i="3"/>
  <c r="S193" i="3"/>
  <c r="O193" i="3"/>
  <c r="H193" i="3"/>
  <c r="G193" i="3"/>
  <c r="S192" i="3"/>
  <c r="O192" i="3"/>
  <c r="G192" i="3"/>
  <c r="H192" i="3" s="1"/>
  <c r="S191" i="3"/>
  <c r="O191" i="3"/>
  <c r="G191" i="3"/>
  <c r="H191" i="3" s="1"/>
  <c r="S190" i="3"/>
  <c r="O190" i="3"/>
  <c r="H190" i="3"/>
  <c r="G190" i="3"/>
  <c r="S189" i="3"/>
  <c r="O189" i="3"/>
  <c r="G189" i="3"/>
  <c r="H189" i="3" s="1"/>
  <c r="S188" i="3"/>
  <c r="O188" i="3"/>
  <c r="G188" i="3"/>
  <c r="H188" i="3" s="1"/>
  <c r="S187" i="3"/>
  <c r="O187" i="3"/>
  <c r="H187" i="3"/>
  <c r="G187" i="3"/>
  <c r="S186" i="3"/>
  <c r="O186" i="3"/>
  <c r="H186" i="3"/>
  <c r="G186" i="3"/>
  <c r="O185" i="3"/>
  <c r="H185" i="3"/>
  <c r="G185" i="3"/>
  <c r="S184" i="3"/>
  <c r="O184" i="3"/>
  <c r="G184" i="3"/>
  <c r="H184" i="3" s="1"/>
  <c r="S183" i="3"/>
  <c r="O183" i="3"/>
  <c r="G183" i="3"/>
  <c r="H183" i="3" s="1"/>
  <c r="S182" i="3"/>
  <c r="O182" i="3"/>
  <c r="G182" i="3"/>
  <c r="H182" i="3" s="1"/>
  <c r="S181" i="3"/>
  <c r="O181" i="3"/>
  <c r="H181" i="3"/>
  <c r="G181" i="3"/>
  <c r="S180" i="3"/>
  <c r="O180" i="3"/>
  <c r="H180" i="3"/>
  <c r="G180" i="3"/>
  <c r="S179" i="3"/>
  <c r="O179" i="3"/>
  <c r="G179" i="3"/>
  <c r="H179" i="3" s="1"/>
  <c r="S178" i="3"/>
  <c r="O178" i="3"/>
  <c r="G178" i="3"/>
  <c r="H178" i="3" s="1"/>
  <c r="S177" i="3"/>
  <c r="O177" i="3"/>
  <c r="H177" i="3"/>
  <c r="G177" i="3"/>
  <c r="S176" i="3"/>
  <c r="O176" i="3"/>
  <c r="G176" i="3"/>
  <c r="H176" i="3" s="1"/>
  <c r="S175" i="3"/>
  <c r="O175" i="3"/>
  <c r="G175" i="3"/>
  <c r="H175" i="3" s="1"/>
  <c r="S174" i="3"/>
  <c r="O174" i="3"/>
  <c r="H174" i="3"/>
  <c r="G174" i="3"/>
  <c r="S173" i="3"/>
  <c r="O173" i="3"/>
  <c r="H173" i="3"/>
  <c r="G173" i="3"/>
  <c r="S172" i="3"/>
  <c r="O172" i="3"/>
  <c r="H172" i="3"/>
  <c r="G172" i="3"/>
  <c r="S171" i="3"/>
  <c r="O171" i="3"/>
  <c r="G171" i="3"/>
  <c r="H171" i="3" s="1"/>
  <c r="S170" i="3"/>
  <c r="O170" i="3"/>
  <c r="G170" i="3"/>
  <c r="H170" i="3" s="1"/>
  <c r="S169" i="3"/>
  <c r="O169" i="3"/>
  <c r="H169" i="3"/>
  <c r="G169" i="3"/>
  <c r="S168" i="3"/>
  <c r="O168" i="3"/>
  <c r="G168" i="3"/>
  <c r="H168" i="3" s="1"/>
  <c r="S167" i="3"/>
  <c r="O167" i="3"/>
  <c r="G167" i="3"/>
  <c r="H167" i="3" s="1"/>
  <c r="S166" i="3"/>
  <c r="O166" i="3"/>
  <c r="H166" i="3"/>
  <c r="G166" i="3"/>
  <c r="S165" i="3"/>
  <c r="O165" i="3"/>
  <c r="H165" i="3"/>
  <c r="G165" i="3"/>
  <c r="S164" i="3"/>
  <c r="O164" i="3"/>
  <c r="H164" i="3"/>
  <c r="G164" i="3"/>
  <c r="S163" i="3"/>
  <c r="O163" i="3"/>
  <c r="G163" i="3"/>
  <c r="H163" i="3" s="1"/>
  <c r="S162" i="3"/>
  <c r="O162" i="3"/>
  <c r="G162" i="3"/>
  <c r="H162" i="3" s="1"/>
  <c r="S161" i="3"/>
  <c r="O161" i="3"/>
  <c r="H161" i="3"/>
  <c r="G161" i="3"/>
  <c r="S160" i="3"/>
  <c r="O160" i="3"/>
  <c r="G160" i="3"/>
  <c r="H160" i="3" s="1"/>
  <c r="S159" i="3"/>
  <c r="O159" i="3"/>
  <c r="G159" i="3"/>
  <c r="H159" i="3" s="1"/>
  <c r="S158" i="3"/>
  <c r="O158" i="3"/>
  <c r="G158" i="3"/>
  <c r="H158" i="3" s="1"/>
  <c r="S157" i="3"/>
  <c r="O157" i="3"/>
  <c r="H157" i="3"/>
  <c r="G157" i="3"/>
  <c r="S156" i="3"/>
  <c r="O156" i="3"/>
  <c r="H156" i="3"/>
  <c r="G156" i="3"/>
  <c r="S155" i="3"/>
  <c r="O155" i="3"/>
  <c r="G155" i="3"/>
  <c r="H155" i="3" s="1"/>
  <c r="S154" i="3"/>
  <c r="O154" i="3"/>
  <c r="G154" i="3"/>
  <c r="H154" i="3" s="1"/>
  <c r="O153" i="3"/>
  <c r="H153" i="3"/>
  <c r="G153" i="3"/>
  <c r="S152" i="3"/>
  <c r="O152" i="3"/>
  <c r="H152" i="3"/>
  <c r="G152" i="3"/>
  <c r="S151" i="3"/>
  <c r="O151" i="3"/>
  <c r="H151" i="3"/>
  <c r="G151" i="3"/>
  <c r="S150" i="3"/>
  <c r="O150" i="3"/>
  <c r="G150" i="3"/>
  <c r="H150" i="3" s="1"/>
  <c r="S149" i="3"/>
  <c r="O149" i="3"/>
  <c r="G149" i="3"/>
  <c r="H149" i="3" s="1"/>
  <c r="S148" i="3"/>
  <c r="O148" i="3"/>
  <c r="H148" i="3"/>
  <c r="G148" i="3"/>
  <c r="S147" i="3"/>
  <c r="O147" i="3"/>
  <c r="G147" i="3"/>
  <c r="H147" i="3" s="1"/>
  <c r="S146" i="3"/>
  <c r="O146" i="3"/>
  <c r="G146" i="3"/>
  <c r="H146" i="3" s="1"/>
  <c r="S145" i="3"/>
  <c r="O145" i="3"/>
  <c r="G145" i="3"/>
  <c r="H145" i="3" s="1"/>
  <c r="S144" i="3"/>
  <c r="O144" i="3"/>
  <c r="H144" i="3"/>
  <c r="G144" i="3"/>
  <c r="S143" i="3"/>
  <c r="O143" i="3"/>
  <c r="H143" i="3"/>
  <c r="G143" i="3"/>
  <c r="S142" i="3"/>
  <c r="O142" i="3"/>
  <c r="G142" i="3"/>
  <c r="H142" i="3" s="1"/>
  <c r="S141" i="3"/>
  <c r="O141" i="3"/>
  <c r="G141" i="3"/>
  <c r="H141" i="3" s="1"/>
  <c r="S140" i="3"/>
  <c r="O140" i="3"/>
  <c r="H140" i="3"/>
  <c r="G140" i="3"/>
  <c r="S139" i="3"/>
  <c r="O139" i="3"/>
  <c r="G139" i="3"/>
  <c r="H139" i="3" s="1"/>
  <c r="S138" i="3"/>
  <c r="O138" i="3"/>
  <c r="G138" i="3"/>
  <c r="H138" i="3" s="1"/>
  <c r="S137" i="3"/>
  <c r="O137" i="3"/>
  <c r="G137" i="3"/>
  <c r="H137" i="3" s="1"/>
  <c r="S136" i="3"/>
  <c r="O136" i="3"/>
  <c r="H136" i="3"/>
  <c r="G136" i="3"/>
  <c r="S135" i="3"/>
  <c r="O135" i="3"/>
  <c r="H135" i="3"/>
  <c r="G135" i="3"/>
  <c r="S134" i="3"/>
  <c r="O134" i="3"/>
  <c r="G134" i="3"/>
  <c r="H134" i="3" s="1"/>
  <c r="S133" i="3"/>
  <c r="O133" i="3"/>
  <c r="G133" i="3"/>
  <c r="H133" i="3" s="1"/>
  <c r="S132" i="3"/>
  <c r="O132" i="3"/>
  <c r="H132" i="3"/>
  <c r="G132" i="3"/>
  <c r="S131" i="3"/>
  <c r="O131" i="3"/>
  <c r="G131" i="3"/>
  <c r="H131" i="3" s="1"/>
  <c r="S130" i="3"/>
  <c r="O130" i="3"/>
  <c r="G130" i="3"/>
  <c r="H130" i="3" s="1"/>
  <c r="S129" i="3"/>
  <c r="O129" i="3"/>
  <c r="H129" i="3"/>
  <c r="G129" i="3"/>
  <c r="S128" i="3"/>
  <c r="O128" i="3"/>
  <c r="H128" i="3"/>
  <c r="G128" i="3"/>
  <c r="S127" i="3"/>
  <c r="O127" i="3"/>
  <c r="H127" i="3"/>
  <c r="G127" i="3"/>
  <c r="S126" i="3"/>
  <c r="O126" i="3"/>
  <c r="G126" i="3"/>
  <c r="H126" i="3" s="1"/>
  <c r="S125" i="3"/>
  <c r="O125" i="3"/>
  <c r="G125" i="3"/>
  <c r="H125" i="3" s="1"/>
  <c r="S124" i="3"/>
  <c r="O124" i="3"/>
  <c r="H124" i="3"/>
  <c r="G124" i="3"/>
  <c r="S123" i="3"/>
  <c r="O123" i="3"/>
  <c r="G123" i="3"/>
  <c r="H123" i="3" s="1"/>
  <c r="S122" i="3"/>
  <c r="O122" i="3"/>
  <c r="G122" i="3"/>
  <c r="H122" i="3" s="1"/>
  <c r="S121" i="3"/>
  <c r="O121" i="3"/>
  <c r="H121" i="3"/>
  <c r="G121" i="3"/>
  <c r="S120" i="3"/>
  <c r="O120" i="3"/>
  <c r="H120" i="3"/>
  <c r="G120" i="3"/>
  <c r="S119" i="3"/>
  <c r="O119" i="3"/>
  <c r="H119" i="3"/>
  <c r="G119" i="3"/>
  <c r="S118" i="3"/>
  <c r="O118" i="3"/>
  <c r="G118" i="3"/>
  <c r="H118" i="3" s="1"/>
  <c r="S117" i="3"/>
  <c r="O117" i="3"/>
  <c r="G117" i="3"/>
  <c r="H117" i="3" s="1"/>
  <c r="S116" i="3"/>
  <c r="O116" i="3"/>
  <c r="H116" i="3"/>
  <c r="G116" i="3"/>
  <c r="S115" i="3"/>
  <c r="O115" i="3"/>
  <c r="G115" i="3"/>
  <c r="H115" i="3" s="1"/>
  <c r="O114" i="3"/>
  <c r="H114" i="3"/>
  <c r="G114" i="3"/>
  <c r="S113" i="3"/>
  <c r="O113" i="3"/>
  <c r="G113" i="3"/>
  <c r="H113" i="3" s="1"/>
  <c r="S112" i="3"/>
  <c r="O112" i="3"/>
  <c r="G112" i="3"/>
  <c r="H112" i="3" s="1"/>
  <c r="S111" i="3"/>
  <c r="O111" i="3"/>
  <c r="H111" i="3"/>
  <c r="G111" i="3"/>
  <c r="S110" i="3"/>
  <c r="O110" i="3"/>
  <c r="G110" i="3"/>
  <c r="H110" i="3" s="1"/>
  <c r="S109" i="3"/>
  <c r="O109" i="3"/>
  <c r="G109" i="3"/>
  <c r="H109" i="3" s="1"/>
  <c r="S108" i="3"/>
  <c r="O108" i="3"/>
  <c r="H108" i="3"/>
  <c r="G108" i="3"/>
  <c r="S107" i="3"/>
  <c r="O107" i="3"/>
  <c r="H107" i="3"/>
  <c r="G107" i="3"/>
  <c r="S106" i="3"/>
  <c r="O106" i="3"/>
  <c r="H106" i="3"/>
  <c r="G106" i="3"/>
  <c r="S105" i="3"/>
  <c r="O105" i="3"/>
  <c r="G105" i="3"/>
  <c r="H105" i="3" s="1"/>
  <c r="S104" i="3"/>
  <c r="O104" i="3"/>
  <c r="G104" i="3"/>
  <c r="H104" i="3" s="1"/>
  <c r="S103" i="3"/>
  <c r="O103" i="3"/>
  <c r="H103" i="3"/>
  <c r="G103" i="3"/>
  <c r="S102" i="3"/>
  <c r="O102" i="3"/>
  <c r="G102" i="3"/>
  <c r="H102" i="3" s="1"/>
  <c r="S101" i="3"/>
  <c r="O101" i="3"/>
  <c r="G101" i="3"/>
  <c r="H101" i="3" s="1"/>
  <c r="S100" i="3"/>
  <c r="O100" i="3"/>
  <c r="G100" i="3"/>
  <c r="H100" i="3" s="1"/>
  <c r="S99" i="3"/>
  <c r="O99" i="3"/>
  <c r="H99" i="3"/>
  <c r="G99" i="3"/>
  <c r="S98" i="3"/>
  <c r="O98" i="3"/>
  <c r="H98" i="3"/>
  <c r="G98" i="3"/>
  <c r="S97" i="3"/>
  <c r="O97" i="3"/>
  <c r="G97" i="3"/>
  <c r="H97" i="3" s="1"/>
  <c r="S96" i="3"/>
  <c r="O96" i="3"/>
  <c r="G96" i="3"/>
  <c r="H96" i="3" s="1"/>
  <c r="S95" i="3"/>
  <c r="O95" i="3"/>
  <c r="H95" i="3"/>
  <c r="G95" i="3"/>
  <c r="S94" i="3"/>
  <c r="O94" i="3"/>
  <c r="G94" i="3"/>
  <c r="H94" i="3" s="1"/>
  <c r="S93" i="3"/>
  <c r="O93" i="3"/>
  <c r="G93" i="3"/>
  <c r="H93" i="3" s="1"/>
  <c r="G92" i="3"/>
  <c r="H92" i="3" s="1"/>
  <c r="S91" i="3"/>
  <c r="O91" i="3"/>
  <c r="G91" i="3"/>
  <c r="H91" i="3" s="1"/>
  <c r="S90" i="3"/>
  <c r="O90" i="3"/>
  <c r="G90" i="3"/>
  <c r="H90" i="3" s="1"/>
  <c r="S89" i="3"/>
  <c r="O89" i="3"/>
  <c r="H89" i="3"/>
  <c r="G89" i="3"/>
  <c r="S88" i="3"/>
  <c r="O88" i="3"/>
  <c r="H88" i="3"/>
  <c r="G88" i="3"/>
  <c r="S87" i="3"/>
  <c r="O87" i="3"/>
  <c r="G87" i="3"/>
  <c r="H87" i="3" s="1"/>
  <c r="S86" i="3"/>
  <c r="O86" i="3"/>
  <c r="G86" i="3"/>
  <c r="H86" i="3" s="1"/>
  <c r="S85" i="3"/>
  <c r="O85" i="3"/>
  <c r="H85" i="3"/>
  <c r="G85" i="3"/>
  <c r="O84" i="3"/>
  <c r="H84" i="3"/>
  <c r="G84" i="3"/>
  <c r="S83" i="3"/>
  <c r="O83" i="3"/>
  <c r="H83" i="3"/>
  <c r="G83" i="3"/>
  <c r="S82" i="3"/>
  <c r="O82" i="3"/>
  <c r="G82" i="3"/>
  <c r="H82" i="3" s="1"/>
  <c r="S81" i="3"/>
  <c r="O81" i="3"/>
  <c r="G81" i="3"/>
  <c r="H81" i="3" s="1"/>
  <c r="S80" i="3"/>
  <c r="O80" i="3"/>
  <c r="H80" i="3"/>
  <c r="G80" i="3"/>
  <c r="S79" i="3"/>
  <c r="O79" i="3"/>
  <c r="G79" i="3"/>
  <c r="H79" i="3" s="1"/>
  <c r="S78" i="3"/>
  <c r="O78" i="3"/>
  <c r="G78" i="3"/>
  <c r="H78" i="3" s="1"/>
  <c r="S77" i="3"/>
  <c r="O77" i="3"/>
  <c r="G77" i="3"/>
  <c r="H77" i="3" s="1"/>
  <c r="S76" i="3"/>
  <c r="O76" i="3"/>
  <c r="H76" i="3"/>
  <c r="G76" i="3"/>
  <c r="S75" i="3"/>
  <c r="O75" i="3"/>
  <c r="H75" i="3"/>
  <c r="G75" i="3"/>
  <c r="S74" i="3"/>
  <c r="O74" i="3"/>
  <c r="G74" i="3"/>
  <c r="H74" i="3" s="1"/>
  <c r="S73" i="3"/>
  <c r="O73" i="3"/>
  <c r="G73" i="3"/>
  <c r="H73" i="3" s="1"/>
  <c r="S72" i="3"/>
  <c r="O72" i="3"/>
  <c r="H72" i="3"/>
  <c r="G72" i="3"/>
  <c r="S71" i="3"/>
  <c r="O71" i="3"/>
  <c r="G71" i="3"/>
  <c r="H71" i="3" s="1"/>
  <c r="S70" i="3"/>
  <c r="O70" i="3"/>
  <c r="G70" i="3"/>
  <c r="H70" i="3" s="1"/>
  <c r="S69" i="3"/>
  <c r="O69" i="3"/>
  <c r="G69" i="3"/>
  <c r="H69" i="3" s="1"/>
  <c r="S68" i="3"/>
  <c r="O68" i="3"/>
  <c r="H68" i="3"/>
  <c r="G68" i="3"/>
  <c r="S67" i="3"/>
  <c r="O67" i="3"/>
  <c r="H67" i="3"/>
  <c r="G67" i="3"/>
  <c r="S66" i="3"/>
  <c r="O66" i="3"/>
  <c r="G66" i="3"/>
  <c r="H66" i="3" s="1"/>
  <c r="S65" i="3"/>
  <c r="O65" i="3"/>
  <c r="G65" i="3"/>
  <c r="H65" i="3" s="1"/>
  <c r="S64" i="3"/>
  <c r="O64" i="3"/>
  <c r="H64" i="3"/>
  <c r="G64" i="3"/>
  <c r="S63" i="3"/>
  <c r="O63" i="3"/>
  <c r="G63" i="3"/>
  <c r="H63" i="3" s="1"/>
  <c r="S62" i="3"/>
  <c r="O62" i="3"/>
  <c r="G62" i="3"/>
  <c r="H62" i="3" s="1"/>
  <c r="S61" i="3"/>
  <c r="O61" i="3"/>
  <c r="H61" i="3"/>
  <c r="G61" i="3"/>
  <c r="S60" i="3"/>
  <c r="O60" i="3"/>
  <c r="H60" i="3"/>
  <c r="G60" i="3"/>
  <c r="S59" i="3"/>
  <c r="O59" i="3"/>
  <c r="H59" i="3"/>
  <c r="G59" i="3"/>
  <c r="S58" i="3"/>
  <c r="O58" i="3"/>
  <c r="G58" i="3"/>
  <c r="H58" i="3" s="1"/>
  <c r="S57" i="3"/>
  <c r="O57" i="3"/>
  <c r="G57" i="3"/>
  <c r="H57" i="3" s="1"/>
  <c r="S56" i="3"/>
  <c r="O56" i="3"/>
  <c r="H56" i="3"/>
  <c r="G56" i="3"/>
  <c r="S55" i="3"/>
  <c r="O55" i="3"/>
  <c r="G55" i="3"/>
  <c r="H55" i="3" s="1"/>
  <c r="S54" i="3"/>
  <c r="O54" i="3"/>
  <c r="G54" i="3"/>
  <c r="H54" i="3" s="1"/>
  <c r="S53" i="3"/>
  <c r="O53" i="3"/>
  <c r="G53" i="3"/>
  <c r="H53" i="3" s="1"/>
  <c r="S52" i="3"/>
  <c r="O52" i="3"/>
  <c r="H52" i="3"/>
  <c r="G52" i="3"/>
  <c r="S51" i="3"/>
  <c r="O51" i="3"/>
  <c r="H51" i="3"/>
  <c r="G51" i="3"/>
  <c r="S50" i="3"/>
  <c r="O50" i="3"/>
  <c r="G50" i="3"/>
  <c r="H50" i="3" s="1"/>
  <c r="S49" i="3"/>
  <c r="O49" i="3"/>
  <c r="G49" i="3"/>
  <c r="H49" i="3" s="1"/>
  <c r="S48" i="3"/>
  <c r="O48" i="3"/>
  <c r="H48" i="3"/>
  <c r="G48" i="3"/>
  <c r="S47" i="3"/>
  <c r="O47" i="3"/>
  <c r="G47" i="3"/>
  <c r="H47" i="3" s="1"/>
  <c r="S46" i="3"/>
  <c r="O46" i="3"/>
  <c r="G46" i="3"/>
  <c r="H46" i="3" s="1"/>
  <c r="S45" i="3"/>
  <c r="O45" i="3"/>
  <c r="G45" i="3"/>
  <c r="H45" i="3" s="1"/>
  <c r="S44" i="3"/>
  <c r="O44" i="3"/>
  <c r="H44" i="3"/>
  <c r="G44" i="3"/>
  <c r="S43" i="3"/>
  <c r="O43" i="3"/>
  <c r="H43" i="3"/>
  <c r="G43" i="3"/>
  <c r="S42" i="3"/>
  <c r="O42" i="3"/>
  <c r="G42" i="3"/>
  <c r="H42" i="3" s="1"/>
  <c r="S41" i="3"/>
  <c r="O41" i="3"/>
  <c r="G41" i="3"/>
  <c r="H41" i="3" s="1"/>
  <c r="S40" i="3"/>
  <c r="O40" i="3"/>
  <c r="H40" i="3"/>
  <c r="G40" i="3"/>
  <c r="O39" i="3"/>
  <c r="H39" i="3"/>
  <c r="G39" i="3"/>
  <c r="S38" i="3"/>
  <c r="O38" i="3"/>
  <c r="H38" i="3"/>
  <c r="G38" i="3"/>
  <c r="S37" i="3"/>
  <c r="O37" i="3"/>
  <c r="G37" i="3"/>
  <c r="H37" i="3" s="1"/>
  <c r="S36" i="3"/>
  <c r="O36" i="3"/>
  <c r="G36" i="3"/>
  <c r="H36" i="3" s="1"/>
  <c r="S35" i="3"/>
  <c r="O35" i="3"/>
  <c r="H35" i="3"/>
  <c r="G35" i="3"/>
  <c r="S34" i="3"/>
  <c r="O34" i="3"/>
  <c r="G34" i="3"/>
  <c r="H34" i="3" s="1"/>
  <c r="S33" i="3"/>
  <c r="O33" i="3"/>
  <c r="G33" i="3"/>
  <c r="H33" i="3" s="1"/>
  <c r="S32" i="3"/>
  <c r="O32" i="3"/>
  <c r="G32" i="3"/>
  <c r="H32" i="3" s="1"/>
  <c r="S31" i="3"/>
  <c r="O31" i="3"/>
  <c r="H31" i="3"/>
  <c r="G31" i="3"/>
  <c r="G30" i="3"/>
  <c r="H30" i="3" s="1"/>
  <c r="S29" i="3"/>
  <c r="O29" i="3"/>
  <c r="H29" i="3"/>
  <c r="G29" i="3"/>
  <c r="S28" i="3"/>
  <c r="O28" i="3"/>
  <c r="H28" i="3"/>
  <c r="G28" i="3"/>
  <c r="S27" i="3"/>
  <c r="O27" i="3"/>
  <c r="G27" i="3"/>
  <c r="H27" i="3" s="1"/>
  <c r="S26" i="3"/>
  <c r="O26" i="3"/>
  <c r="G26" i="3"/>
  <c r="H26" i="3" s="1"/>
  <c r="S25" i="3"/>
  <c r="O25" i="3"/>
  <c r="H25" i="3"/>
  <c r="G25" i="3"/>
  <c r="G24" i="3"/>
  <c r="H24" i="3" s="1"/>
  <c r="G23" i="3"/>
  <c r="H23" i="3" s="1"/>
  <c r="S22" i="3"/>
  <c r="O22" i="3"/>
  <c r="G22" i="3"/>
  <c r="H22" i="3" s="1"/>
  <c r="S21" i="3"/>
  <c r="O21" i="3"/>
  <c r="H21" i="3"/>
  <c r="G21" i="3"/>
  <c r="S20" i="3"/>
  <c r="O20" i="3"/>
  <c r="G20" i="3"/>
  <c r="H20" i="3" s="1"/>
  <c r="S19" i="3"/>
  <c r="O19" i="3"/>
  <c r="G19" i="3"/>
  <c r="H19" i="3" s="1"/>
  <c r="S18" i="3"/>
  <c r="O18" i="3"/>
  <c r="G18" i="3"/>
  <c r="H18" i="3" s="1"/>
  <c r="S17" i="3"/>
  <c r="O17" i="3"/>
  <c r="H17" i="3"/>
  <c r="G17" i="3"/>
  <c r="S16" i="3"/>
  <c r="O16" i="3"/>
  <c r="H16" i="3"/>
  <c r="G16" i="3"/>
  <c r="S15" i="3"/>
  <c r="O15" i="3"/>
  <c r="G15" i="3"/>
  <c r="H15" i="3" s="1"/>
  <c r="S14" i="3"/>
  <c r="O14" i="3"/>
  <c r="G14" i="3"/>
  <c r="H14" i="3" s="1"/>
  <c r="S13" i="3"/>
  <c r="O13" i="3"/>
  <c r="H13" i="3"/>
  <c r="G13" i="3"/>
  <c r="S12" i="3"/>
  <c r="O12" i="3"/>
  <c r="G12" i="3"/>
  <c r="H12" i="3" s="1"/>
  <c r="S11" i="3"/>
  <c r="O11" i="3"/>
  <c r="G11" i="3"/>
  <c r="H11" i="3" s="1"/>
  <c r="S10" i="3"/>
  <c r="O10" i="3"/>
  <c r="H10" i="3"/>
  <c r="G10" i="3"/>
  <c r="T9" i="3"/>
  <c r="U9" i="3" s="1"/>
  <c r="S9" i="3"/>
  <c r="O9" i="3"/>
  <c r="G9" i="3"/>
  <c r="H9" i="3" s="1"/>
  <c r="S8" i="3"/>
  <c r="O8" i="3"/>
  <c r="G8" i="3"/>
  <c r="H8" i="3" s="1"/>
  <c r="S7" i="3"/>
  <c r="O7" i="3"/>
  <c r="H7" i="3"/>
  <c r="G7" i="3"/>
  <c r="S6" i="3"/>
  <c r="O6" i="3"/>
  <c r="G6" i="3"/>
  <c r="H6" i="3" s="1"/>
  <c r="S5" i="3"/>
  <c r="O5" i="3"/>
  <c r="G5" i="3"/>
  <c r="H5" i="3" s="1"/>
  <c r="S4" i="3"/>
  <c r="O4" i="3"/>
  <c r="G4" i="3"/>
  <c r="H4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S3" i="3"/>
  <c r="O3" i="3"/>
  <c r="H3" i="3"/>
  <c r="G3" i="3"/>
  <c r="K124" i="2"/>
  <c r="P129" i="2" s="1"/>
  <c r="C15" i="1" s="1"/>
  <c r="G124" i="2"/>
  <c r="K123" i="2"/>
  <c r="J110" i="2"/>
  <c r="I110" i="2"/>
  <c r="G110" i="2"/>
  <c r="H109" i="2"/>
  <c r="K109" i="2" s="1"/>
  <c r="H108" i="2"/>
  <c r="H107" i="2"/>
  <c r="K107" i="2" s="1"/>
  <c r="O106" i="2"/>
  <c r="H106" i="2"/>
  <c r="K106" i="2" s="1"/>
  <c r="O105" i="2"/>
  <c r="K105" i="2"/>
  <c r="O104" i="2"/>
  <c r="O103" i="2"/>
  <c r="P101" i="2"/>
  <c r="G101" i="2" s="1"/>
  <c r="K101" i="2" s="1"/>
  <c r="P100" i="2"/>
  <c r="G100" i="2"/>
  <c r="K100" i="2" s="1"/>
  <c r="P99" i="2"/>
  <c r="G99" i="2" s="1"/>
  <c r="K99" i="2" s="1"/>
  <c r="P98" i="2"/>
  <c r="G98" i="2" s="1"/>
  <c r="K98" i="2" s="1"/>
  <c r="P97" i="2"/>
  <c r="K97" i="2" s="1"/>
  <c r="P96" i="2"/>
  <c r="K96" i="2" s="1"/>
  <c r="K102" i="2" s="1"/>
  <c r="P95" i="2"/>
  <c r="K95" i="2" s="1"/>
  <c r="E95" i="2"/>
  <c r="E96" i="2" s="1"/>
  <c r="E97" i="2" s="1"/>
  <c r="E98" i="2" s="1"/>
  <c r="E99" i="2" s="1"/>
  <c r="E100" i="2" s="1"/>
  <c r="E101" i="2" s="1"/>
  <c r="A95" i="2"/>
  <c r="A96" i="2" s="1"/>
  <c r="A97" i="2" s="1"/>
  <c r="A98" i="2" s="1"/>
  <c r="A99" i="2" s="1"/>
  <c r="A100" i="2" s="1"/>
  <c r="A101" i="2" s="1"/>
  <c r="P94" i="2"/>
  <c r="J91" i="2"/>
  <c r="I91" i="2"/>
  <c r="G91" i="2"/>
  <c r="H90" i="2"/>
  <c r="K90" i="2" s="1"/>
  <c r="H89" i="2"/>
  <c r="K89" i="2" s="1"/>
  <c r="H88" i="2"/>
  <c r="K88" i="2" s="1"/>
  <c r="H87" i="2"/>
  <c r="K87" i="2" s="1"/>
  <c r="H86" i="2"/>
  <c r="K86" i="2" s="1"/>
  <c r="H85" i="2"/>
  <c r="K85" i="2" s="1"/>
  <c r="H84" i="2"/>
  <c r="K84" i="2" s="1"/>
  <c r="H83" i="2"/>
  <c r="K83" i="2" s="1"/>
  <c r="H82" i="2"/>
  <c r="K82" i="2" s="1"/>
  <c r="H81" i="2"/>
  <c r="H80" i="2"/>
  <c r="K80" i="2" s="1"/>
  <c r="A80" i="2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J77" i="2"/>
  <c r="I77" i="2"/>
  <c r="G77" i="2"/>
  <c r="H76" i="2"/>
  <c r="K76" i="2" s="1"/>
  <c r="H75" i="2"/>
  <c r="K75" i="2" s="1"/>
  <c r="H74" i="2"/>
  <c r="K74" i="2" s="1"/>
  <c r="H73" i="2"/>
  <c r="K73" i="2" s="1"/>
  <c r="H72" i="2"/>
  <c r="K72" i="2" s="1"/>
  <c r="H71" i="2"/>
  <c r="K71" i="2" s="1"/>
  <c r="H70" i="2"/>
  <c r="K70" i="2" s="1"/>
  <c r="H69" i="2"/>
  <c r="K69" i="2" s="1"/>
  <c r="K68" i="2"/>
  <c r="H68" i="2"/>
  <c r="H67" i="2"/>
  <c r="K67" i="2" s="1"/>
  <c r="A67" i="2"/>
  <c r="A68" i="2" s="1"/>
  <c r="A69" i="2" s="1"/>
  <c r="A70" i="2" s="1"/>
  <c r="A71" i="2" s="1"/>
  <c r="A72" i="2" s="1"/>
  <c r="A73" i="2" s="1"/>
  <c r="A74" i="2" s="1"/>
  <c r="A75" i="2" s="1"/>
  <c r="A76" i="2" s="1"/>
  <c r="J64" i="2"/>
  <c r="I64" i="2"/>
  <c r="G64" i="2"/>
  <c r="H63" i="2"/>
  <c r="K63" i="2" s="1"/>
  <c r="H62" i="2"/>
  <c r="K62" i="2" s="1"/>
  <c r="H61" i="2"/>
  <c r="K61" i="2" s="1"/>
  <c r="H60" i="2"/>
  <c r="K60" i="2" s="1"/>
  <c r="H59" i="2"/>
  <c r="K59" i="2" s="1"/>
  <c r="H58" i="2"/>
  <c r="K58" i="2" s="1"/>
  <c r="H57" i="2"/>
  <c r="K57" i="2" s="1"/>
  <c r="H56" i="2"/>
  <c r="K56" i="2" s="1"/>
  <c r="H55" i="2"/>
  <c r="K55" i="2" s="1"/>
  <c r="H54" i="2"/>
  <c r="K54" i="2" s="1"/>
  <c r="H53" i="2"/>
  <c r="K53" i="2" s="1"/>
  <c r="H52" i="2"/>
  <c r="K52" i="2" s="1"/>
  <c r="H51" i="2"/>
  <c r="K51" i="2" s="1"/>
  <c r="H50" i="2"/>
  <c r="K50" i="2" s="1"/>
  <c r="H49" i="2"/>
  <c r="K49" i="2" s="1"/>
  <c r="H48" i="2"/>
  <c r="K48" i="2" s="1"/>
  <c r="H47" i="2"/>
  <c r="K47" i="2" s="1"/>
  <c r="H46" i="2"/>
  <c r="H45" i="2"/>
  <c r="K45" i="2" s="1"/>
  <c r="A45" i="2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J42" i="2"/>
  <c r="G42" i="2"/>
  <c r="H41" i="2"/>
  <c r="K41" i="2" s="1"/>
  <c r="H40" i="2"/>
  <c r="K40" i="2" s="1"/>
  <c r="H39" i="2"/>
  <c r="K39" i="2" s="1"/>
  <c r="H38" i="2"/>
  <c r="K38" i="2" s="1"/>
  <c r="H37" i="2"/>
  <c r="K37" i="2" s="1"/>
  <c r="H36" i="2"/>
  <c r="K36" i="2" s="1"/>
  <c r="H35" i="2"/>
  <c r="K35" i="2" s="1"/>
  <c r="H34" i="2"/>
  <c r="K34" i="2" s="1"/>
  <c r="H33" i="2"/>
  <c r="K33" i="2" s="1"/>
  <c r="H32" i="2"/>
  <c r="K32" i="2" s="1"/>
  <c r="H31" i="2"/>
  <c r="K31" i="2" s="1"/>
  <c r="H30" i="2"/>
  <c r="K30" i="2" s="1"/>
  <c r="I29" i="2"/>
  <c r="H29" i="2"/>
  <c r="I28" i="2"/>
  <c r="H28" i="2"/>
  <c r="H27" i="2"/>
  <c r="K27" i="2" s="1"/>
  <c r="H26" i="2"/>
  <c r="K26" i="2" s="1"/>
  <c r="I25" i="2"/>
  <c r="H25" i="2"/>
  <c r="I24" i="2"/>
  <c r="H24" i="2"/>
  <c r="I23" i="2"/>
  <c r="H23" i="2"/>
  <c r="K23" i="2" s="1"/>
  <c r="A23" i="2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J20" i="2"/>
  <c r="I20" i="2"/>
  <c r="G20" i="2"/>
  <c r="H19" i="2"/>
  <c r="K19" i="2" s="1"/>
  <c r="H18" i="2"/>
  <c r="K18" i="2" s="1"/>
  <c r="H17" i="2"/>
  <c r="K17" i="2" s="1"/>
  <c r="H16" i="2"/>
  <c r="K16" i="2" s="1"/>
  <c r="H15" i="2"/>
  <c r="K15" i="2" s="1"/>
  <c r="H14" i="2"/>
  <c r="K14" i="2" s="1"/>
  <c r="H13" i="2"/>
  <c r="K13" i="2" s="1"/>
  <c r="H12" i="2"/>
  <c r="K12" i="2" s="1"/>
  <c r="H11" i="2"/>
  <c r="K11" i="2" s="1"/>
  <c r="H10" i="2"/>
  <c r="K10" i="2" s="1"/>
  <c r="H9" i="2"/>
  <c r="K9" i="2" s="1"/>
  <c r="H8" i="2"/>
  <c r="K8" i="2" s="1"/>
  <c r="H7" i="2"/>
  <c r="K7" i="2" s="1"/>
  <c r="H6" i="2"/>
  <c r="K6" i="2" s="1"/>
  <c r="H5" i="2"/>
  <c r="K5" i="2" s="1"/>
  <c r="H4" i="2"/>
  <c r="K4" i="2" s="1"/>
  <c r="A4" i="2"/>
  <c r="A5" i="2" s="1"/>
  <c r="A6" i="2" s="1"/>
  <c r="A7" i="2" s="1"/>
  <c r="H3" i="2"/>
  <c r="K28" i="2" l="1"/>
  <c r="H64" i="2"/>
  <c r="H91" i="2"/>
  <c r="K77" i="2"/>
  <c r="H42" i="2"/>
  <c r="I42" i="2"/>
  <c r="I128" i="2" s="1"/>
  <c r="F260" i="3" s="1"/>
  <c r="G265" i="3" s="1"/>
  <c r="K29" i="2"/>
  <c r="P128" i="2"/>
  <c r="C13" i="1" s="1"/>
  <c r="H110" i="2"/>
  <c r="K25" i="2"/>
  <c r="A172" i="3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51" i="3"/>
  <c r="A152" i="3" s="1"/>
  <c r="A153" i="3" s="1"/>
  <c r="A8" i="2"/>
  <c r="A10" i="2" s="1"/>
  <c r="A9" i="2"/>
  <c r="H77" i="2"/>
  <c r="G94" i="2"/>
  <c r="G128" i="2" s="1"/>
  <c r="C260" i="3" s="1"/>
  <c r="G263" i="3" s="1"/>
  <c r="P103" i="2"/>
  <c r="P104" i="2" s="1"/>
  <c r="K81" i="2"/>
  <c r="K91" i="2" s="1"/>
  <c r="H229" i="3"/>
  <c r="G256" i="3"/>
  <c r="H20" i="2"/>
  <c r="J128" i="2"/>
  <c r="G260" i="3" s="1"/>
  <c r="G266" i="3" s="1"/>
  <c r="K24" i="2"/>
  <c r="K42" i="2" s="1"/>
  <c r="H256" i="3"/>
  <c r="K3" i="2"/>
  <c r="K20" i="2" s="1"/>
  <c r="K46" i="2"/>
  <c r="K64" i="2" s="1"/>
  <c r="K108" i="2"/>
  <c r="K110" i="2" s="1"/>
  <c r="P127" i="2" s="1"/>
  <c r="C11" i="1" s="1"/>
  <c r="H128" i="2" l="1"/>
  <c r="D260" i="3" s="1"/>
  <c r="G264" i="3" s="1"/>
  <c r="G267" i="3" s="1"/>
  <c r="G269" i="3" s="1"/>
  <c r="C7" i="1"/>
  <c r="C8" i="1" s="1"/>
  <c r="A162" i="3"/>
  <c r="A163" i="3" s="1"/>
  <c r="A164" i="3" s="1"/>
  <c r="A165" i="3" s="1"/>
  <c r="A166" i="3" s="1"/>
  <c r="A167" i="3" s="1"/>
  <c r="A168" i="3" s="1"/>
  <c r="A169" i="3" s="1"/>
  <c r="A170" i="3" s="1"/>
  <c r="A171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154" i="3"/>
  <c r="A155" i="3" s="1"/>
  <c r="A156" i="3" s="1"/>
  <c r="A157" i="3" s="1"/>
  <c r="A158" i="3" s="1"/>
  <c r="A159" i="3" s="1"/>
  <c r="A160" i="3" s="1"/>
  <c r="A161" i="3" s="1"/>
  <c r="P126" i="2"/>
  <c r="C9" i="1" s="1"/>
  <c r="K128" i="2"/>
  <c r="H260" i="3" s="1"/>
  <c r="C10" i="1" l="1"/>
  <c r="C12" i="1" s="1"/>
  <c r="C14" i="1" s="1"/>
  <c r="C16" i="1" s="1"/>
</calcChain>
</file>

<file path=xl/sharedStrings.xml><?xml version="1.0" encoding="utf-8"?>
<sst xmlns="http://schemas.openxmlformats.org/spreadsheetml/2006/main" count="1913" uniqueCount="600">
  <si>
    <t>Bancos</t>
  </si>
  <si>
    <t>Ingresos</t>
  </si>
  <si>
    <t>Facturas por recibir pago.</t>
  </si>
  <si>
    <t>Gastos proveedores</t>
  </si>
  <si>
    <t>Gastos Ind.</t>
  </si>
  <si>
    <t>Nominas</t>
  </si>
  <si>
    <t>Folio</t>
  </si>
  <si>
    <t>Proveedor</t>
  </si>
  <si>
    <t>Fecha</t>
  </si>
  <si>
    <t>Servicio</t>
  </si>
  <si>
    <t>Sub total</t>
  </si>
  <si>
    <t>IVA</t>
  </si>
  <si>
    <t>Retencion 4%</t>
  </si>
  <si>
    <t>Retencion ISR</t>
  </si>
  <si>
    <t>Total</t>
  </si>
  <si>
    <t>P</t>
  </si>
  <si>
    <t>OP</t>
  </si>
  <si>
    <t>Jennifer</t>
  </si>
  <si>
    <t>Logistica</t>
  </si>
  <si>
    <t>FE-</t>
  </si>
  <si>
    <t>.</t>
  </si>
  <si>
    <t>FF-</t>
  </si>
  <si>
    <t>Rama</t>
  </si>
  <si>
    <t>Freda</t>
  </si>
  <si>
    <t>1-</t>
  </si>
  <si>
    <t>Victor</t>
  </si>
  <si>
    <t>Indirectos</t>
  </si>
  <si>
    <t>Isra</t>
  </si>
  <si>
    <t>Fox</t>
  </si>
  <si>
    <t>Nomina</t>
  </si>
  <si>
    <t>MP</t>
  </si>
  <si>
    <t>Rex</t>
  </si>
  <si>
    <t>RM</t>
  </si>
  <si>
    <t>X</t>
  </si>
  <si>
    <t>Total Play</t>
  </si>
  <si>
    <t>Oficina</t>
  </si>
  <si>
    <t>Ana</t>
  </si>
  <si>
    <t>mes</t>
  </si>
  <si>
    <t>TAX</t>
  </si>
  <si>
    <t>Enero</t>
  </si>
  <si>
    <t>ISR</t>
  </si>
  <si>
    <t>Febrero</t>
  </si>
  <si>
    <t>Marzo</t>
  </si>
  <si>
    <t>Agosto</t>
  </si>
  <si>
    <t>IVA Ret</t>
  </si>
  <si>
    <t>Sep</t>
  </si>
  <si>
    <t>Octubre</t>
  </si>
  <si>
    <t>Nov</t>
  </si>
  <si>
    <t>Diciembre</t>
  </si>
  <si>
    <t>Proveedores</t>
  </si>
  <si>
    <t>Otros</t>
  </si>
  <si>
    <t>RDP</t>
  </si>
  <si>
    <t>ENERO 26</t>
  </si>
  <si>
    <t>Factura</t>
  </si>
  <si>
    <t>Fecha de emision</t>
  </si>
  <si>
    <t>Cliente</t>
  </si>
  <si>
    <t>ST</t>
  </si>
  <si>
    <t>Fecha de pago</t>
  </si>
  <si>
    <t>Referencia OP</t>
  </si>
  <si>
    <t>%</t>
  </si>
  <si>
    <t>Rodipak</t>
  </si>
  <si>
    <t>Hugo</t>
  </si>
  <si>
    <t>FE-196</t>
  </si>
  <si>
    <t>Victor Hugo</t>
  </si>
  <si>
    <t>RD2601001-F</t>
  </si>
  <si>
    <t>LOCAL CN</t>
  </si>
  <si>
    <t>FE-197</t>
  </si>
  <si>
    <t>RD2601002-F</t>
  </si>
  <si>
    <t>Delivery</t>
  </si>
  <si>
    <t>FE-198</t>
  </si>
  <si>
    <t>RD2601-L</t>
  </si>
  <si>
    <t>Lavado CN</t>
  </si>
  <si>
    <t>FE-199</t>
  </si>
  <si>
    <t>RD2601003-F</t>
  </si>
  <si>
    <t>Apodaca</t>
  </si>
  <si>
    <t>FE-200</t>
  </si>
  <si>
    <t>RD2601004</t>
  </si>
  <si>
    <t>Flete</t>
  </si>
  <si>
    <t>QRO</t>
  </si>
  <si>
    <t>FE-201</t>
  </si>
  <si>
    <t>Peso extra</t>
  </si>
  <si>
    <t>FE-202</t>
  </si>
  <si>
    <t>RD2601</t>
  </si>
  <si>
    <t>FE-203</t>
  </si>
  <si>
    <t>RD2601005-F</t>
  </si>
  <si>
    <t>Penstone</t>
  </si>
  <si>
    <t>FE-204</t>
  </si>
  <si>
    <t>RD2601006-F</t>
  </si>
  <si>
    <t>FE-205</t>
  </si>
  <si>
    <t>RD2601007-F</t>
  </si>
  <si>
    <t>FE-206</t>
  </si>
  <si>
    <t>RD2601008-F</t>
  </si>
  <si>
    <t>FE-207</t>
  </si>
  <si>
    <t>RD2601009-F</t>
  </si>
  <si>
    <t>SLP</t>
  </si>
  <si>
    <t>FE-208</t>
  </si>
  <si>
    <t>FE-209</t>
  </si>
  <si>
    <t>RD2601012-F</t>
  </si>
  <si>
    <t>FE-210</t>
  </si>
  <si>
    <t>RD260-L</t>
  </si>
  <si>
    <t>FE-211</t>
  </si>
  <si>
    <t>FE-212</t>
  </si>
  <si>
    <t>RD260101011-F</t>
  </si>
  <si>
    <t>FE-213</t>
  </si>
  <si>
    <t>RD2601010-F</t>
  </si>
  <si>
    <t>FE-214</t>
  </si>
  <si>
    <t>Express</t>
  </si>
  <si>
    <t>NA</t>
  </si>
  <si>
    <t>RET</t>
  </si>
  <si>
    <t>FE-215</t>
  </si>
  <si>
    <t>RD2601013-L</t>
  </si>
  <si>
    <t>FE-216</t>
  </si>
  <si>
    <t>Cancelado</t>
  </si>
  <si>
    <t>FE-217</t>
  </si>
  <si>
    <t>FE-218</t>
  </si>
  <si>
    <t>RD2601014-L</t>
  </si>
  <si>
    <t>FE-219</t>
  </si>
  <si>
    <t>RD2601015-L</t>
  </si>
  <si>
    <t>FE-220</t>
  </si>
  <si>
    <t>RD2601015-F</t>
  </si>
  <si>
    <t>FE-221</t>
  </si>
  <si>
    <t>RD2601016-F</t>
  </si>
  <si>
    <t>FE-222</t>
  </si>
  <si>
    <t>RD2601017-F</t>
  </si>
  <si>
    <t>FE-223</t>
  </si>
  <si>
    <t>FE-224</t>
  </si>
  <si>
    <t>RD2601018-F</t>
  </si>
  <si>
    <t>FTL</t>
  </si>
  <si>
    <t>Caja seca</t>
  </si>
  <si>
    <t>FE-225</t>
  </si>
  <si>
    <t>RD2601019-F</t>
  </si>
  <si>
    <t>FE-226</t>
  </si>
  <si>
    <t>ESTADIA</t>
  </si>
  <si>
    <t>Estadia</t>
  </si>
  <si>
    <t>FE-227</t>
  </si>
  <si>
    <t>RD2601020-L</t>
  </si>
  <si>
    <t>FE-228</t>
  </si>
  <si>
    <t>RD2621001-L</t>
  </si>
  <si>
    <t>FE-229</t>
  </si>
  <si>
    <t>RDP2601021-F</t>
  </si>
  <si>
    <t>380-Jennifer</t>
  </si>
  <si>
    <t>FE-230</t>
  </si>
  <si>
    <t>1-102</t>
  </si>
  <si>
    <t>RDP2601001-L</t>
  </si>
  <si>
    <t>FF-311-Rama</t>
  </si>
  <si>
    <t>FE-231</t>
  </si>
  <si>
    <t>1-104</t>
  </si>
  <si>
    <t>RDP-2601002-L</t>
  </si>
  <si>
    <t>FF-312-Rama</t>
  </si>
  <si>
    <t>FE-232</t>
  </si>
  <si>
    <t>N/A</t>
  </si>
  <si>
    <t>FE-233</t>
  </si>
  <si>
    <t>1-107</t>
  </si>
  <si>
    <t>RDP2602022-F</t>
  </si>
  <si>
    <t>FF-315-Rama</t>
  </si>
  <si>
    <t>FE-234</t>
  </si>
  <si>
    <t>1-108</t>
  </si>
  <si>
    <t>RDP2602023-F</t>
  </si>
  <si>
    <t>FF-314-Rama</t>
  </si>
  <si>
    <t>FE-235</t>
  </si>
  <si>
    <t>1-109</t>
  </si>
  <si>
    <t>RDP2602024-F</t>
  </si>
  <si>
    <t>FF-317-Rama</t>
  </si>
  <si>
    <t>FE-236</t>
  </si>
  <si>
    <t>1-110</t>
  </si>
  <si>
    <t>ROD2602025-F</t>
  </si>
  <si>
    <t>FF-316-Rama</t>
  </si>
  <si>
    <t>FE-237</t>
  </si>
  <si>
    <t>FE-238</t>
  </si>
  <si>
    <t>FE-239</t>
  </si>
  <si>
    <t>1-117</t>
  </si>
  <si>
    <t>RDP2602026F</t>
  </si>
  <si>
    <t>FF-328-Rama</t>
  </si>
  <si>
    <t>FE-240</t>
  </si>
  <si>
    <t>1-120</t>
  </si>
  <si>
    <t>RDP2602027-F</t>
  </si>
  <si>
    <t>389-Omar</t>
  </si>
  <si>
    <t>FE-241</t>
  </si>
  <si>
    <t>1-121</t>
  </si>
  <si>
    <t>RDP2602028-F</t>
  </si>
  <si>
    <t>FE-242</t>
  </si>
  <si>
    <t>1-122</t>
  </si>
  <si>
    <t>RDP2602029-F</t>
  </si>
  <si>
    <t>FE-243</t>
  </si>
  <si>
    <t>1-124</t>
  </si>
  <si>
    <t>RDP2602004-L</t>
  </si>
  <si>
    <t>FF-331-RAMA</t>
  </si>
  <si>
    <t>FE-244</t>
  </si>
  <si>
    <t>1-125</t>
  </si>
  <si>
    <t>RDP2602030-F</t>
  </si>
  <si>
    <t>FF-Rama</t>
  </si>
  <si>
    <t>FE-245</t>
  </si>
  <si>
    <t>1-127</t>
  </si>
  <si>
    <t>RDP2602032-F</t>
  </si>
  <si>
    <t>FE-246</t>
  </si>
  <si>
    <t>1-130</t>
  </si>
  <si>
    <t>RDP2602033-F</t>
  </si>
  <si>
    <t>FE-247</t>
  </si>
  <si>
    <t>1-131</t>
  </si>
  <si>
    <t>FE-248</t>
  </si>
  <si>
    <t>FE-249</t>
  </si>
  <si>
    <t>1-133</t>
  </si>
  <si>
    <t>RDP2603005-L</t>
  </si>
  <si>
    <t>FE-250</t>
  </si>
  <si>
    <t>1-135</t>
  </si>
  <si>
    <t>RDP2602006-L</t>
  </si>
  <si>
    <t>FE-251</t>
  </si>
  <si>
    <t>1-139</t>
  </si>
  <si>
    <t>FE-252</t>
  </si>
  <si>
    <t>FE-253</t>
  </si>
  <si>
    <t>1-143</t>
  </si>
  <si>
    <t>RDP2603035-F</t>
  </si>
  <si>
    <t>FLETE</t>
  </si>
  <si>
    <t>OMAR404</t>
  </si>
  <si>
    <t>FE-254</t>
  </si>
  <si>
    <t>1-144</t>
  </si>
  <si>
    <t>RDP2603036-F</t>
  </si>
  <si>
    <t>FE-255</t>
  </si>
  <si>
    <t>1-145</t>
  </si>
  <si>
    <t>RDP2603037-F</t>
  </si>
  <si>
    <t>RAMA</t>
  </si>
  <si>
    <t>FE-256</t>
  </si>
  <si>
    <t>1-146</t>
  </si>
  <si>
    <t>RDP2603038-F</t>
  </si>
  <si>
    <t>FE-257</t>
  </si>
  <si>
    <t>1-148</t>
  </si>
  <si>
    <t>RDP2603007-L</t>
  </si>
  <si>
    <t>FE-258</t>
  </si>
  <si>
    <t>1-149</t>
  </si>
  <si>
    <t>RDP26030339-F</t>
  </si>
  <si>
    <t>FE-259</t>
  </si>
  <si>
    <t>1-152</t>
  </si>
  <si>
    <t>RDP2603008-L</t>
  </si>
  <si>
    <t>FE-260</t>
  </si>
  <si>
    <t>1-154</t>
  </si>
  <si>
    <t>RDP2603040-F</t>
  </si>
  <si>
    <t xml:space="preserve">Omar </t>
  </si>
  <si>
    <t>FE-261</t>
  </si>
  <si>
    <t>1-155</t>
  </si>
  <si>
    <t>RDP2603009-L</t>
  </si>
  <si>
    <t>FE-262</t>
  </si>
  <si>
    <t>1-157</t>
  </si>
  <si>
    <t>RDP2603010-L</t>
  </si>
  <si>
    <t>FE-263</t>
  </si>
  <si>
    <t>1-160</t>
  </si>
  <si>
    <t>RDP2603041-M</t>
  </si>
  <si>
    <t>Maniobras</t>
  </si>
  <si>
    <t>FE-264</t>
  </si>
  <si>
    <t>1-161</t>
  </si>
  <si>
    <t>RDP2603042-F</t>
  </si>
  <si>
    <t>FE-265</t>
  </si>
  <si>
    <t>1-163</t>
  </si>
  <si>
    <t>FE-266</t>
  </si>
  <si>
    <t>Otro</t>
  </si>
  <si>
    <t>FE-267</t>
  </si>
  <si>
    <t>1-166</t>
  </si>
  <si>
    <t>FE-268</t>
  </si>
  <si>
    <t>1-167</t>
  </si>
  <si>
    <t>FE-269</t>
  </si>
  <si>
    <t>1-170</t>
  </si>
  <si>
    <t>Jenny</t>
  </si>
  <si>
    <t>FE-270</t>
  </si>
  <si>
    <t>1-173</t>
  </si>
  <si>
    <t>FE-271</t>
  </si>
  <si>
    <t>1-177</t>
  </si>
  <si>
    <t>FE-272</t>
  </si>
  <si>
    <t>1-179</t>
  </si>
  <si>
    <t>FE-273</t>
  </si>
  <si>
    <t>1-180</t>
  </si>
  <si>
    <t>FE-274</t>
  </si>
  <si>
    <t>1-181</t>
  </si>
  <si>
    <t>FE-275</t>
  </si>
  <si>
    <t>1-182</t>
  </si>
  <si>
    <t>FE-276</t>
  </si>
  <si>
    <t>1-184</t>
  </si>
  <si>
    <t>FE-277</t>
  </si>
  <si>
    <t>p</t>
  </si>
  <si>
    <t>FE-278</t>
  </si>
  <si>
    <t>1-185</t>
  </si>
  <si>
    <t>FE-279</t>
  </si>
  <si>
    <t>1-187</t>
  </si>
  <si>
    <t>FE-280</t>
  </si>
  <si>
    <t>1-190</t>
  </si>
  <si>
    <t>FE-281</t>
  </si>
  <si>
    <t>1-192</t>
  </si>
  <si>
    <t>FE-282</t>
  </si>
  <si>
    <t>1-194</t>
  </si>
  <si>
    <t>FE-283</t>
  </si>
  <si>
    <t>1-197</t>
  </si>
  <si>
    <t>FE-284</t>
  </si>
  <si>
    <t>1-198</t>
  </si>
  <si>
    <t>FE-285</t>
  </si>
  <si>
    <t>1-201</t>
  </si>
  <si>
    <t>FE-286</t>
  </si>
  <si>
    <t>FE-287</t>
  </si>
  <si>
    <t>1-203</t>
  </si>
  <si>
    <t>FE-288</t>
  </si>
  <si>
    <t>1-204</t>
  </si>
  <si>
    <t>FE-289</t>
  </si>
  <si>
    <t>Coordinacion</t>
  </si>
  <si>
    <t>FE-290</t>
  </si>
  <si>
    <t>1-208</t>
  </si>
  <si>
    <t>FE-291</t>
  </si>
  <si>
    <t>FE-292</t>
  </si>
  <si>
    <t>1-211</t>
  </si>
  <si>
    <t>FE-293</t>
  </si>
  <si>
    <t>1-212</t>
  </si>
  <si>
    <t>FE-294</t>
  </si>
  <si>
    <t>1-213</t>
  </si>
  <si>
    <t>FE-295</t>
  </si>
  <si>
    <t>1-217</t>
  </si>
  <si>
    <t>FE-296</t>
  </si>
  <si>
    <t>1-218</t>
  </si>
  <si>
    <t>FE-297</t>
  </si>
  <si>
    <t>1-219</t>
  </si>
  <si>
    <t>FE-298</t>
  </si>
  <si>
    <t>1-220</t>
  </si>
  <si>
    <t>FE-299</t>
  </si>
  <si>
    <t>1-222</t>
  </si>
  <si>
    <t>FE-300</t>
  </si>
  <si>
    <t>1-223</t>
  </si>
  <si>
    <t>FE-301</t>
  </si>
  <si>
    <t>1-224</t>
  </si>
  <si>
    <t>FE-302</t>
  </si>
  <si>
    <t>1-227</t>
  </si>
  <si>
    <t>FE-303</t>
  </si>
  <si>
    <t>1-228</t>
  </si>
  <si>
    <t>FE-304</t>
  </si>
  <si>
    <t>1-229</t>
  </si>
  <si>
    <t>FE-305</t>
  </si>
  <si>
    <t>1-231</t>
  </si>
  <si>
    <t>FE-306</t>
  </si>
  <si>
    <t>1-245</t>
  </si>
  <si>
    <t>FE-307</t>
  </si>
  <si>
    <t>FE-308</t>
  </si>
  <si>
    <t>1-230</t>
  </si>
  <si>
    <t>FE-309</t>
  </si>
  <si>
    <t>1-237</t>
  </si>
  <si>
    <t>FE-310</t>
  </si>
  <si>
    <t>1-238</t>
  </si>
  <si>
    <t>FE-311</t>
  </si>
  <si>
    <t>1-242</t>
  </si>
  <si>
    <t>FE-312</t>
  </si>
  <si>
    <t>1-243</t>
  </si>
  <si>
    <t>FE-313</t>
  </si>
  <si>
    <t>1-244</t>
  </si>
  <si>
    <t>FE-314</t>
  </si>
  <si>
    <t>1-247</t>
  </si>
  <si>
    <t>Pernocta</t>
  </si>
  <si>
    <t>FE-315</t>
  </si>
  <si>
    <t>1-250</t>
  </si>
  <si>
    <t>FE-316</t>
  </si>
  <si>
    <t>1-254</t>
  </si>
  <si>
    <t>FE-317</t>
  </si>
  <si>
    <t>1-255</t>
  </si>
  <si>
    <t>FE-318</t>
  </si>
  <si>
    <t>1-257</t>
  </si>
  <si>
    <t>FE-319</t>
  </si>
  <si>
    <t>1-260</t>
  </si>
  <si>
    <t>FE-320</t>
  </si>
  <si>
    <t>1-262</t>
  </si>
  <si>
    <t>FE-321</t>
  </si>
  <si>
    <t>1-265</t>
  </si>
  <si>
    <t>FE-322</t>
  </si>
  <si>
    <t>FE-323</t>
  </si>
  <si>
    <t>1-270</t>
  </si>
  <si>
    <t>FE-324</t>
  </si>
  <si>
    <t>1-268</t>
  </si>
  <si>
    <t>FE-325</t>
  </si>
  <si>
    <t>1-271</t>
  </si>
  <si>
    <t>FE-326</t>
  </si>
  <si>
    <t>1-272</t>
  </si>
  <si>
    <t>flete</t>
  </si>
  <si>
    <t>FE-327</t>
  </si>
  <si>
    <t>FE-328</t>
  </si>
  <si>
    <t>FE-329</t>
  </si>
  <si>
    <t>1-277</t>
  </si>
  <si>
    <t>FE-330</t>
  </si>
  <si>
    <t>1-276</t>
  </si>
  <si>
    <t>FE-331</t>
  </si>
  <si>
    <t>1-279</t>
  </si>
  <si>
    <t>FE-332</t>
  </si>
  <si>
    <t>1-280</t>
  </si>
  <si>
    <t>OMAR</t>
  </si>
  <si>
    <t>FE-333</t>
  </si>
  <si>
    <t>1-286</t>
  </si>
  <si>
    <t>FE-334</t>
  </si>
  <si>
    <t>1-287</t>
  </si>
  <si>
    <t>FE-335</t>
  </si>
  <si>
    <t>1-289</t>
  </si>
  <si>
    <t>FE-336</t>
  </si>
  <si>
    <t>1-292</t>
  </si>
  <si>
    <t>FE-337</t>
  </si>
  <si>
    <t>1-293</t>
  </si>
  <si>
    <t>FE-338</t>
  </si>
  <si>
    <t>1-298</t>
  </si>
  <si>
    <t>Demoras</t>
  </si>
  <si>
    <t>Omar</t>
  </si>
  <si>
    <t>FE-339</t>
  </si>
  <si>
    <t>1-299</t>
  </si>
  <si>
    <t>FE-340</t>
  </si>
  <si>
    <t>1-304</t>
  </si>
  <si>
    <t>FE-341</t>
  </si>
  <si>
    <t>1-305</t>
  </si>
  <si>
    <t>FE-342</t>
  </si>
  <si>
    <t>1-306</t>
  </si>
  <si>
    <t>FE-343</t>
  </si>
  <si>
    <t>1-309</t>
  </si>
  <si>
    <t>FE-344</t>
  </si>
  <si>
    <t>1-310</t>
  </si>
  <si>
    <t>FE-345</t>
  </si>
  <si>
    <t>1-311</t>
  </si>
  <si>
    <t>FE-346</t>
  </si>
  <si>
    <t>FE-347</t>
  </si>
  <si>
    <t>FE-348</t>
  </si>
  <si>
    <t>FE-349</t>
  </si>
  <si>
    <t>FE-350</t>
  </si>
  <si>
    <t>FE-351</t>
  </si>
  <si>
    <t>FE-352</t>
  </si>
  <si>
    <t>FE-353</t>
  </si>
  <si>
    <t>FE-354</t>
  </si>
  <si>
    <t>FE-355</t>
  </si>
  <si>
    <t>1-314</t>
  </si>
  <si>
    <t>FE-356</t>
  </si>
  <si>
    <t>1-317</t>
  </si>
  <si>
    <t>FE-357</t>
  </si>
  <si>
    <t>1-320</t>
  </si>
  <si>
    <t>FE-358</t>
  </si>
  <si>
    <t>1-321</t>
  </si>
  <si>
    <t>FE-359</t>
  </si>
  <si>
    <t>1-322</t>
  </si>
  <si>
    <t>FE-360</t>
  </si>
  <si>
    <t>1-323</t>
  </si>
  <si>
    <t>FE-361</t>
  </si>
  <si>
    <t>1-324</t>
  </si>
  <si>
    <t>FE-362</t>
  </si>
  <si>
    <t>1-329</t>
  </si>
  <si>
    <t>FE-363</t>
  </si>
  <si>
    <t>1-330</t>
  </si>
  <si>
    <t>FE-364</t>
  </si>
  <si>
    <t>1-328</t>
  </si>
  <si>
    <t>FE-365</t>
  </si>
  <si>
    <t>1-325</t>
  </si>
  <si>
    <t>FE-366</t>
  </si>
  <si>
    <t>1-332</t>
  </si>
  <si>
    <t>FE-367</t>
  </si>
  <si>
    <t>1-339</t>
  </si>
  <si>
    <t>FE-368</t>
  </si>
  <si>
    <t>1-341</t>
  </si>
  <si>
    <t>FE-369</t>
  </si>
  <si>
    <t>1-342</t>
  </si>
  <si>
    <t>FE-370</t>
  </si>
  <si>
    <t>1-343</t>
  </si>
  <si>
    <t>FE-371</t>
  </si>
  <si>
    <t>1-344</t>
  </si>
  <si>
    <t>FE-372</t>
  </si>
  <si>
    <t>1-346</t>
  </si>
  <si>
    <t>FE-373</t>
  </si>
  <si>
    <t>1-347</t>
  </si>
  <si>
    <t>FE-374</t>
  </si>
  <si>
    <t>1-350</t>
  </si>
  <si>
    <t>FE-375</t>
  </si>
  <si>
    <t>1-351</t>
  </si>
  <si>
    <t>FE-376</t>
  </si>
  <si>
    <t>1-352</t>
  </si>
  <si>
    <t>FE-377</t>
  </si>
  <si>
    <t>1-353</t>
  </si>
  <si>
    <t>FE-378</t>
  </si>
  <si>
    <t>FE-379</t>
  </si>
  <si>
    <t>1-357</t>
  </si>
  <si>
    <t>FE-380</t>
  </si>
  <si>
    <t>1-358</t>
  </si>
  <si>
    <t>FE-381</t>
  </si>
  <si>
    <t>1-360</t>
  </si>
  <si>
    <t>FE-382</t>
  </si>
  <si>
    <t>1-364</t>
  </si>
  <si>
    <t>FE-383</t>
  </si>
  <si>
    <t xml:space="preserve">15 f </t>
  </si>
  <si>
    <t>HUGO</t>
  </si>
  <si>
    <t>15F</t>
  </si>
  <si>
    <t>FE-384</t>
  </si>
  <si>
    <t>1-380</t>
  </si>
  <si>
    <t>FE-385</t>
  </si>
  <si>
    <t>1-384</t>
  </si>
  <si>
    <t>FE-386</t>
  </si>
  <si>
    <t>1-386</t>
  </si>
  <si>
    <t>FE-387</t>
  </si>
  <si>
    <t>FE-388</t>
  </si>
  <si>
    <t>1-391</t>
  </si>
  <si>
    <t>FE-389</t>
  </si>
  <si>
    <t>1-392</t>
  </si>
  <si>
    <t>FE-390</t>
  </si>
  <si>
    <t>1-393</t>
  </si>
  <si>
    <t>FE-391</t>
  </si>
  <si>
    <t>1-394</t>
  </si>
  <si>
    <t>FE-392</t>
  </si>
  <si>
    <t>1-395</t>
  </si>
  <si>
    <t>VERIMEX</t>
  </si>
  <si>
    <t>FE-393</t>
  </si>
  <si>
    <t>1-396</t>
  </si>
  <si>
    <t>FE-394</t>
  </si>
  <si>
    <t>1-399</t>
  </si>
  <si>
    <t>FE-395</t>
  </si>
  <si>
    <t>1-401</t>
  </si>
  <si>
    <t>Lavado</t>
  </si>
  <si>
    <t>FE-396</t>
  </si>
  <si>
    <t>1-405</t>
  </si>
  <si>
    <t>FE-397</t>
  </si>
  <si>
    <t>1-408</t>
  </si>
  <si>
    <t>FE-398</t>
  </si>
  <si>
    <t>1-409</t>
  </si>
  <si>
    <t>FE-399</t>
  </si>
  <si>
    <t>1-410</t>
  </si>
  <si>
    <t>FE-400</t>
  </si>
  <si>
    <t>FE-401</t>
  </si>
  <si>
    <t>1-414</t>
  </si>
  <si>
    <t>FE-402</t>
  </si>
  <si>
    <t>1-415</t>
  </si>
  <si>
    <t>FE-403</t>
  </si>
  <si>
    <t>1-421</t>
  </si>
  <si>
    <t>FE-404</t>
  </si>
  <si>
    <t>1-422</t>
  </si>
  <si>
    <t>FE-405</t>
  </si>
  <si>
    <t>1-424</t>
  </si>
  <si>
    <t>1-442</t>
  </si>
  <si>
    <t>FE-406</t>
  </si>
  <si>
    <t>1-427</t>
  </si>
  <si>
    <t>FE-407</t>
  </si>
  <si>
    <t>1-428</t>
  </si>
  <si>
    <t>FE-408</t>
  </si>
  <si>
    <t>1-429</t>
  </si>
  <si>
    <t>FE-409</t>
  </si>
  <si>
    <t>1-430</t>
  </si>
  <si>
    <t>FE-410</t>
  </si>
  <si>
    <t>1-431</t>
  </si>
  <si>
    <t>FE-411</t>
  </si>
  <si>
    <t>1-434</t>
  </si>
  <si>
    <t>FE-412</t>
  </si>
  <si>
    <t>1-435</t>
  </si>
  <si>
    <t>FE-413</t>
  </si>
  <si>
    <t>FE-414</t>
  </si>
  <si>
    <t>FE-415</t>
  </si>
  <si>
    <t>FE-416</t>
  </si>
  <si>
    <t>FE-417</t>
  </si>
  <si>
    <t>1-438</t>
  </si>
  <si>
    <t>FE-418</t>
  </si>
  <si>
    <t>1-440</t>
  </si>
  <si>
    <t>FE-419</t>
  </si>
  <si>
    <t>1-441</t>
  </si>
  <si>
    <t>FE-420</t>
  </si>
  <si>
    <t>1-446</t>
  </si>
  <si>
    <t>FE-421</t>
  </si>
  <si>
    <t>C</t>
  </si>
  <si>
    <t>FE-422</t>
  </si>
  <si>
    <t>FE-423</t>
  </si>
  <si>
    <t>FE-424</t>
  </si>
  <si>
    <t>FE-425</t>
  </si>
  <si>
    <t>FE-426</t>
  </si>
  <si>
    <t>FE-427</t>
  </si>
  <si>
    <t>FE-428</t>
  </si>
  <si>
    <t>FE-429</t>
  </si>
  <si>
    <t>FE-430</t>
  </si>
  <si>
    <t>FE-431</t>
  </si>
  <si>
    <t>FE-432</t>
  </si>
  <si>
    <t>FE-433</t>
  </si>
  <si>
    <t>FE-434</t>
  </si>
  <si>
    <t>FE-435</t>
  </si>
  <si>
    <t>FE-436</t>
  </si>
  <si>
    <t>FE-437</t>
  </si>
  <si>
    <t>FE-438</t>
  </si>
  <si>
    <t>FE-439</t>
  </si>
  <si>
    <t>FE-440</t>
  </si>
  <si>
    <t>FE-441</t>
  </si>
  <si>
    <t>FE-442</t>
  </si>
  <si>
    <t>FE-443</t>
  </si>
  <si>
    <t>FE-444</t>
  </si>
  <si>
    <t>FE-445</t>
  </si>
  <si>
    <t>FE-446</t>
  </si>
  <si>
    <t>FE-447</t>
  </si>
  <si>
    <t>FE-448</t>
  </si>
  <si>
    <t>Iva</t>
  </si>
  <si>
    <t>Ret IVA</t>
  </si>
  <si>
    <t>Ingreso</t>
  </si>
  <si>
    <t xml:space="preserve">P- POR PAGAR </t>
  </si>
  <si>
    <t xml:space="preserve">X- NO APLICA O PAGADO </t>
  </si>
  <si>
    <t>Impuestos</t>
  </si>
  <si>
    <t>TOTAL</t>
  </si>
  <si>
    <t>GENERAR PROVEDORES</t>
  </si>
  <si>
    <t>NOMINAS</t>
  </si>
  <si>
    <t>INDIRECTOS</t>
  </si>
  <si>
    <t>SE VA A MODIFICAR , SOLO MOSTRAR UNA TABLA PARA REVISAR EL COSTO</t>
  </si>
  <si>
    <t xml:space="preserve">todo lo mostrado en azul el sistema no deja que el usuario lo modifique ya que el sistema muestra el resultado </t>
  </si>
  <si>
    <t xml:space="preserve">FE- FLETE </t>
  </si>
  <si>
    <t xml:space="preserve">MA- MANIOBRA </t>
  </si>
  <si>
    <t>LA- LAVADO</t>
  </si>
  <si>
    <t xml:space="preserve">ES- ESTADIA </t>
  </si>
  <si>
    <t xml:space="preserve">DE-DEMORA </t>
  </si>
  <si>
    <t xml:space="preserve">Tipos de folios que el sistema mostrara al usuario cuando el escriba las letras en la seccion Folio el sistema le mostrala o le ayudara a completar el folio </t>
  </si>
  <si>
    <t xml:space="preserve">en esta seccion que dice administracion solo has una tabla que muestre los datos de las otra tablas </t>
  </si>
  <si>
    <t>FECHA DE QUINCENA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</si>
</sst>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sz val="11"/>
      <color rgb="FFFF0000"/>
      <name val="Verdana"/>
      <family val="2"/>
    </font>
    <font>
      <b/>
      <sz val="11"/>
      <color rgb="FFFF0000"/>
      <name val="Verdana"/>
      <family val="2"/>
    </font>
    <font>
      <b/>
      <sz val="11"/>
      <color rgb="FFC00000"/>
      <name val="Verdana"/>
      <family val="2"/>
    </font>
    <font>
      <sz val="11"/>
      <color rgb="FFC00000"/>
      <name val="Verdana"/>
      <family val="2"/>
    </font>
    <font>
      <b/>
      <sz val="11"/>
      <color rgb="FF0070C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164" fontId="5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left" vertical="center"/>
    </xf>
    <xf numFmtId="14" fontId="7" fillId="2" borderId="0" xfId="0" applyNumberFormat="1" applyFont="1" applyFill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center" vertical="center"/>
    </xf>
    <xf numFmtId="164" fontId="8" fillId="5" borderId="8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64" fontId="11" fillId="4" borderId="12" xfId="0" applyNumberFormat="1" applyFont="1" applyFill="1" applyBorder="1" applyAlignment="1">
      <alignment horizontal="center" vertical="center"/>
    </xf>
    <xf numFmtId="14" fontId="7" fillId="7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" fontId="7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9" fontId="7" fillId="4" borderId="1" xfId="1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9" fontId="7" fillId="6" borderId="1" xfId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9" fontId="7" fillId="2" borderId="1" xfId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vertical="center"/>
    </xf>
    <xf numFmtId="1" fontId="7" fillId="10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1" fontId="9" fillId="3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9" fontId="7" fillId="11" borderId="1" xfId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9" fontId="7" fillId="10" borderId="1" xfId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64" fontId="8" fillId="5" borderId="14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4" fontId="8" fillId="12" borderId="1" xfId="0" applyNumberFormat="1" applyFont="1" applyFill="1" applyBorder="1" applyAlignment="1">
      <alignment horizontal="center" vertical="center"/>
    </xf>
    <xf numFmtId="164" fontId="3" fillId="12" borderId="0" xfId="0" applyNumberFormat="1" applyFont="1" applyFill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9" fontId="7" fillId="12" borderId="1" xfId="1" applyFont="1" applyFill="1" applyBorder="1" applyAlignment="1">
      <alignment horizontal="center" vertical="center"/>
    </xf>
    <xf numFmtId="1" fontId="7" fillId="12" borderId="1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center" vertical="center"/>
    </xf>
    <xf numFmtId="14" fontId="8" fillId="13" borderId="1" xfId="0" applyNumberFormat="1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right" vertical="center"/>
    </xf>
    <xf numFmtId="0" fontId="7" fillId="13" borderId="3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center" vertical="center"/>
    </xf>
    <xf numFmtId="14" fontId="7" fillId="13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164" fontId="7" fillId="12" borderId="9" xfId="0" applyNumberFormat="1" applyFont="1" applyFill="1" applyBorder="1" applyAlignment="1">
      <alignment horizontal="center" vertical="center"/>
    </xf>
    <xf numFmtId="164" fontId="7" fillId="12" borderId="10" xfId="0" applyNumberFormat="1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164" fontId="8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64" fontId="7" fillId="14" borderId="1" xfId="0" applyNumberFormat="1" applyFont="1" applyFill="1" applyBorder="1" applyAlignment="1">
      <alignment horizontal="center" vertical="center"/>
    </xf>
    <xf numFmtId="164" fontId="8" fillId="14" borderId="11" xfId="0" applyNumberFormat="1" applyFont="1" applyFill="1" applyBorder="1" applyAlignment="1">
      <alignment horizontal="center" vertical="center"/>
    </xf>
    <xf numFmtId="164" fontId="7" fillId="14" borderId="0" xfId="0" applyNumberFormat="1" applyFont="1" applyFill="1" applyAlignment="1">
      <alignment horizontal="center" vertical="center"/>
    </xf>
    <xf numFmtId="164" fontId="8" fillId="14" borderId="6" xfId="0" applyNumberFormat="1" applyFont="1" applyFill="1" applyBorder="1" applyAlignment="1">
      <alignment horizontal="center" vertical="center"/>
    </xf>
    <xf numFmtId="164" fontId="7" fillId="14" borderId="17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B0FF-5A5F-4FCB-8A79-D0074C15ABC1}">
  <dimension ref="B3:H19"/>
  <sheetViews>
    <sheetView zoomScale="79" workbookViewId="0">
      <selection activeCell="D7" sqref="D7"/>
    </sheetView>
  </sheetViews>
  <sheetFormatPr baseColWidth="10" defaultRowHeight="19.8" customHeight="1" x14ac:dyDescent="0.3"/>
  <cols>
    <col min="1" max="1" width="11.5546875" style="1"/>
    <col min="2" max="2" width="17.109375" style="1" bestFit="1" customWidth="1"/>
    <col min="3" max="3" width="12.6640625" style="2" bestFit="1" customWidth="1"/>
    <col min="4" max="4" width="22.33203125" style="1" bestFit="1" customWidth="1"/>
    <col min="5" max="5" width="18.88671875" style="1" customWidth="1"/>
    <col min="6" max="16384" width="11.5546875" style="1"/>
  </cols>
  <sheetData>
    <row r="3" spans="2:8" ht="19.8" customHeight="1" x14ac:dyDescent="0.3">
      <c r="B3" s="122" t="s">
        <v>598</v>
      </c>
      <c r="C3" s="122"/>
      <c r="D3" s="122"/>
    </row>
    <row r="4" spans="2:8" ht="19.8" customHeight="1" x14ac:dyDescent="0.3">
      <c r="B4" s="122"/>
      <c r="C4" s="122"/>
      <c r="D4" s="122"/>
    </row>
    <row r="5" spans="2:8" ht="19.8" customHeight="1" x14ac:dyDescent="0.3">
      <c r="H5" s="2"/>
    </row>
    <row r="6" spans="2:8" ht="19.8" customHeight="1" x14ac:dyDescent="0.3">
      <c r="B6" s="1" t="s">
        <v>0</v>
      </c>
      <c r="C6" s="3">
        <v>10000</v>
      </c>
      <c r="H6" s="2"/>
    </row>
    <row r="7" spans="2:8" ht="19.8" customHeight="1" x14ac:dyDescent="0.3">
      <c r="B7" s="1" t="s">
        <v>1</v>
      </c>
      <c r="C7" s="86">
        <f ca="1">'Consecutivo 2026'!H256</f>
        <v>0</v>
      </c>
      <c r="D7" s="4" t="s">
        <v>2</v>
      </c>
      <c r="H7" s="2"/>
    </row>
    <row r="8" spans="2:8" ht="19.8" customHeight="1" x14ac:dyDescent="0.3">
      <c r="C8" s="5">
        <f ca="1">C6+C7</f>
        <v>10000</v>
      </c>
      <c r="H8" s="2"/>
    </row>
    <row r="9" spans="2:8" ht="19.8" customHeight="1" x14ac:dyDescent="0.3">
      <c r="B9" s="6" t="s">
        <v>3</v>
      </c>
      <c r="C9" s="7">
        <f>'Pagos de la quincena'!P126</f>
        <v>324</v>
      </c>
      <c r="H9" s="2"/>
    </row>
    <row r="10" spans="2:8" ht="19.8" customHeight="1" x14ac:dyDescent="0.3">
      <c r="C10" s="5">
        <f ca="1">C8-C9</f>
        <v>9676</v>
      </c>
      <c r="H10" s="2"/>
    </row>
    <row r="11" spans="2:8" ht="19.8" customHeight="1" x14ac:dyDescent="0.3">
      <c r="B11" s="1" t="s">
        <v>4</v>
      </c>
      <c r="C11" s="7">
        <f>'Pagos de la quincena'!P127</f>
        <v>670</v>
      </c>
      <c r="H11" s="2"/>
    </row>
    <row r="12" spans="2:8" ht="19.8" customHeight="1" x14ac:dyDescent="0.3">
      <c r="C12" s="5">
        <f ca="1">C10-C11</f>
        <v>9006</v>
      </c>
      <c r="H12" s="2"/>
    </row>
    <row r="13" spans="2:8" ht="19.8" customHeight="1" x14ac:dyDescent="0.3">
      <c r="B13" s="1" t="s">
        <v>5</v>
      </c>
      <c r="C13" s="7">
        <f>'Pagos de la quincena'!P128</f>
        <v>0</v>
      </c>
    </row>
    <row r="14" spans="2:8" ht="19.8" customHeight="1" x14ac:dyDescent="0.3">
      <c r="C14" s="5">
        <f ca="1">C12-C13</f>
        <v>9006</v>
      </c>
    </row>
    <row r="15" spans="2:8" ht="19.8" customHeight="1" x14ac:dyDescent="0.3">
      <c r="B15" s="1" t="s">
        <v>585</v>
      </c>
      <c r="C15" s="8">
        <f>'Pagos de la quincena'!P129</f>
        <v>0</v>
      </c>
    </row>
    <row r="16" spans="2:8" ht="19.8" customHeight="1" x14ac:dyDescent="0.3">
      <c r="B16" s="1" t="s">
        <v>586</v>
      </c>
      <c r="C16" s="9">
        <f ca="1">C14-C15</f>
        <v>9006</v>
      </c>
    </row>
    <row r="19" spans="4:4" ht="19.8" customHeight="1" x14ac:dyDescent="0.3">
      <c r="D19" s="2"/>
    </row>
  </sheetData>
  <mergeCells count="1">
    <mergeCell ref="B3:D4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B3E2-1226-4C4B-9E7E-CA5478509703}">
  <dimension ref="A1:T130"/>
  <sheetViews>
    <sheetView tabSelected="1" zoomScale="70" zoomScaleNormal="70" zoomScaleSheetLayoutView="100" workbookViewId="0">
      <selection activeCell="K5" sqref="K5"/>
    </sheetView>
  </sheetViews>
  <sheetFormatPr baseColWidth="10" defaultRowHeight="21" customHeight="1" x14ac:dyDescent="0.3"/>
  <cols>
    <col min="1" max="1" width="3.44140625" style="10" bestFit="1" customWidth="1"/>
    <col min="2" max="2" width="5.6640625" style="10" customWidth="1"/>
    <col min="3" max="3" width="4.6640625" style="10" bestFit="1" customWidth="1"/>
    <col min="4" max="4" width="12.77734375" style="10" bestFit="1" customWidth="1"/>
    <col min="5" max="5" width="12.5546875" style="20" bestFit="1" customWidth="1"/>
    <col min="6" max="6" width="14.77734375" style="10" bestFit="1" customWidth="1"/>
    <col min="7" max="8" width="15.77734375" style="22" bestFit="1" customWidth="1"/>
    <col min="9" max="9" width="17.21875" style="22" bestFit="1" customWidth="1"/>
    <col min="10" max="10" width="17.33203125" style="22" bestFit="1" customWidth="1"/>
    <col min="11" max="11" width="15.77734375" style="22" bestFit="1" customWidth="1"/>
    <col min="12" max="12" width="5.33203125" style="10" customWidth="1"/>
    <col min="13" max="13" width="29.21875" style="10" customWidth="1"/>
    <col min="14" max="14" width="4.6640625" style="10" bestFit="1" customWidth="1"/>
    <col min="15" max="15" width="33.5546875" style="10" bestFit="1" customWidth="1"/>
    <col min="16" max="16" width="14.33203125" style="10" bestFit="1" customWidth="1"/>
    <col min="17" max="17" width="16.6640625" style="10" bestFit="1" customWidth="1"/>
    <col min="18" max="16384" width="11.5546875" style="10"/>
  </cols>
  <sheetData>
    <row r="1" spans="1:20" ht="21" customHeight="1" x14ac:dyDescent="0.3">
      <c r="O1" s="14"/>
    </row>
    <row r="2" spans="1:20" ht="21" customHeight="1" x14ac:dyDescent="0.3">
      <c r="B2" s="116" t="s">
        <v>6</v>
      </c>
      <c r="C2" s="116"/>
      <c r="D2" s="11" t="s">
        <v>7</v>
      </c>
      <c r="E2" s="12" t="s">
        <v>8</v>
      </c>
      <c r="F2" s="11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3" t="s">
        <v>14</v>
      </c>
      <c r="L2" s="13" t="s">
        <v>15</v>
      </c>
      <c r="M2" s="116" t="s">
        <v>6</v>
      </c>
      <c r="N2" s="116"/>
      <c r="O2" s="11" t="s">
        <v>16</v>
      </c>
    </row>
    <row r="3" spans="1:20" ht="21" customHeight="1" x14ac:dyDescent="0.3">
      <c r="A3" s="10">
        <v>1</v>
      </c>
      <c r="B3" s="114"/>
      <c r="C3" s="115"/>
      <c r="D3" s="14" t="s">
        <v>17</v>
      </c>
      <c r="E3" s="15"/>
      <c r="F3" s="14" t="s">
        <v>18</v>
      </c>
      <c r="G3" s="16">
        <v>150</v>
      </c>
      <c r="H3" s="16">
        <f t="shared" ref="H3:H19" si="0">G3*16%</f>
        <v>24</v>
      </c>
      <c r="I3" s="16">
        <v>8</v>
      </c>
      <c r="J3" s="16">
        <v>8</v>
      </c>
      <c r="K3" s="16">
        <f>G3+H3-I3-J3</f>
        <v>158</v>
      </c>
      <c r="L3" s="17" t="s">
        <v>15</v>
      </c>
      <c r="M3" s="18" t="s">
        <v>19</v>
      </c>
      <c r="N3" s="19"/>
      <c r="O3" s="14"/>
      <c r="Q3" s="39" t="s">
        <v>597</v>
      </c>
      <c r="R3" s="39"/>
      <c r="S3" s="39"/>
      <c r="T3" s="39"/>
    </row>
    <row r="4" spans="1:20" ht="21" customHeight="1" x14ac:dyDescent="0.3">
      <c r="A4" s="10">
        <f>A3+1</f>
        <v>2</v>
      </c>
      <c r="B4" s="114"/>
      <c r="C4" s="115"/>
      <c r="D4" s="14" t="s">
        <v>17</v>
      </c>
      <c r="E4" s="15"/>
      <c r="F4" s="14" t="s">
        <v>18</v>
      </c>
      <c r="G4" s="16"/>
      <c r="H4" s="16">
        <f t="shared" si="0"/>
        <v>0</v>
      </c>
      <c r="I4" s="16"/>
      <c r="J4" s="16"/>
      <c r="K4" s="16">
        <f t="shared" ref="K4:K19" si="1">G4+H4-I4-J4</f>
        <v>0</v>
      </c>
      <c r="L4" s="17" t="s">
        <v>15</v>
      </c>
      <c r="M4" s="18" t="s">
        <v>19</v>
      </c>
      <c r="N4" s="19"/>
      <c r="O4" s="14"/>
      <c r="Q4" s="10" t="s">
        <v>592</v>
      </c>
    </row>
    <row r="5" spans="1:20" ht="21" customHeight="1" x14ac:dyDescent="0.3">
      <c r="A5" s="10">
        <f t="shared" ref="A5:A8" si="2">A4+1</f>
        <v>3</v>
      </c>
      <c r="B5" s="114"/>
      <c r="C5" s="115"/>
      <c r="D5" s="14" t="s">
        <v>17</v>
      </c>
      <c r="E5" s="15"/>
      <c r="F5" s="14" t="s">
        <v>18</v>
      </c>
      <c r="G5" s="16">
        <v>150</v>
      </c>
      <c r="H5" s="16">
        <f t="shared" si="0"/>
        <v>24</v>
      </c>
      <c r="I5" s="16">
        <v>8</v>
      </c>
      <c r="J5" s="16"/>
      <c r="K5" s="16">
        <f t="shared" si="1"/>
        <v>166</v>
      </c>
      <c r="L5" s="17" t="s">
        <v>15</v>
      </c>
      <c r="M5" s="18" t="s">
        <v>19</v>
      </c>
      <c r="N5" s="19"/>
      <c r="O5" s="14"/>
      <c r="Q5" s="10" t="s">
        <v>593</v>
      </c>
    </row>
    <row r="6" spans="1:20" ht="21" customHeight="1" x14ac:dyDescent="0.3">
      <c r="A6" s="10">
        <f t="shared" si="2"/>
        <v>4</v>
      </c>
      <c r="B6" s="114"/>
      <c r="C6" s="115"/>
      <c r="D6" s="14" t="s">
        <v>17</v>
      </c>
      <c r="E6" s="15"/>
      <c r="F6" s="14" t="s">
        <v>18</v>
      </c>
      <c r="G6" s="16"/>
      <c r="H6" s="16">
        <f t="shared" si="0"/>
        <v>0</v>
      </c>
      <c r="I6" s="16"/>
      <c r="J6" s="16"/>
      <c r="K6" s="16">
        <f t="shared" si="1"/>
        <v>0</v>
      </c>
      <c r="L6" s="17" t="s">
        <v>15</v>
      </c>
      <c r="M6" s="18" t="s">
        <v>19</v>
      </c>
      <c r="N6" s="19"/>
      <c r="O6" s="14"/>
      <c r="Q6" s="10" t="s">
        <v>594</v>
      </c>
    </row>
    <row r="7" spans="1:20" ht="21" customHeight="1" x14ac:dyDescent="0.3">
      <c r="A7" s="10">
        <f t="shared" si="2"/>
        <v>5</v>
      </c>
      <c r="B7" s="114"/>
      <c r="C7" s="115"/>
      <c r="D7" s="14" t="s">
        <v>17</v>
      </c>
      <c r="E7" s="15"/>
      <c r="F7" s="14" t="s">
        <v>18</v>
      </c>
      <c r="G7" s="16"/>
      <c r="H7" s="16">
        <f t="shared" si="0"/>
        <v>0</v>
      </c>
      <c r="I7" s="16"/>
      <c r="J7" s="16"/>
      <c r="K7" s="16">
        <f t="shared" si="1"/>
        <v>0</v>
      </c>
      <c r="L7" s="17" t="s">
        <v>15</v>
      </c>
      <c r="M7" s="18" t="s">
        <v>19</v>
      </c>
      <c r="N7" s="19"/>
      <c r="O7" s="14"/>
      <c r="Q7" s="10" t="s">
        <v>595</v>
      </c>
    </row>
    <row r="8" spans="1:20" ht="21" customHeight="1" x14ac:dyDescent="0.3">
      <c r="A8" s="10">
        <f t="shared" si="2"/>
        <v>6</v>
      </c>
      <c r="B8" s="114"/>
      <c r="C8" s="115"/>
      <c r="D8" s="14" t="s">
        <v>17</v>
      </c>
      <c r="E8" s="15"/>
      <c r="F8" s="14" t="s">
        <v>18</v>
      </c>
      <c r="G8" s="16"/>
      <c r="H8" s="16">
        <f t="shared" si="0"/>
        <v>0</v>
      </c>
      <c r="I8" s="16"/>
      <c r="J8" s="16"/>
      <c r="K8" s="16">
        <f t="shared" si="1"/>
        <v>0</v>
      </c>
      <c r="L8" s="17" t="s">
        <v>15</v>
      </c>
      <c r="M8" s="18" t="s">
        <v>19</v>
      </c>
      <c r="N8" s="19"/>
      <c r="O8" s="14"/>
      <c r="Q8" s="10" t="s">
        <v>596</v>
      </c>
    </row>
    <row r="9" spans="1:20" ht="21" customHeight="1" x14ac:dyDescent="0.3">
      <c r="A9" s="10">
        <f>A7+1</f>
        <v>6</v>
      </c>
      <c r="B9" s="114"/>
      <c r="C9" s="115"/>
      <c r="D9" s="14" t="s">
        <v>17</v>
      </c>
      <c r="E9" s="15"/>
      <c r="F9" s="14" t="s">
        <v>18</v>
      </c>
      <c r="G9" s="16"/>
      <c r="H9" s="16">
        <f t="shared" si="0"/>
        <v>0</v>
      </c>
      <c r="I9" s="16"/>
      <c r="J9" s="16"/>
      <c r="K9" s="16">
        <f t="shared" si="1"/>
        <v>0</v>
      </c>
      <c r="L9" s="17" t="s">
        <v>15</v>
      </c>
      <c r="M9" s="18" t="s">
        <v>19</v>
      </c>
      <c r="N9" s="19"/>
      <c r="O9" s="14"/>
    </row>
    <row r="10" spans="1:20" ht="21" customHeight="1" x14ac:dyDescent="0.3">
      <c r="A10" s="10">
        <f>A8+1</f>
        <v>7</v>
      </c>
      <c r="B10" s="114"/>
      <c r="C10" s="115"/>
      <c r="D10" s="14" t="s">
        <v>17</v>
      </c>
      <c r="E10" s="15"/>
      <c r="F10" s="14" t="s">
        <v>18</v>
      </c>
      <c r="G10" s="16"/>
      <c r="H10" s="16">
        <f t="shared" si="0"/>
        <v>0</v>
      </c>
      <c r="I10" s="16"/>
      <c r="J10" s="16"/>
      <c r="K10" s="16">
        <f t="shared" si="1"/>
        <v>0</v>
      </c>
      <c r="L10" s="17" t="s">
        <v>15</v>
      </c>
      <c r="M10" s="18" t="s">
        <v>19</v>
      </c>
      <c r="N10" s="19"/>
      <c r="O10" s="14"/>
    </row>
    <row r="11" spans="1:20" ht="21" customHeight="1" x14ac:dyDescent="0.3">
      <c r="A11" s="10">
        <v>8</v>
      </c>
      <c r="B11" s="114"/>
      <c r="C11" s="115"/>
      <c r="D11" s="14" t="s">
        <v>17</v>
      </c>
      <c r="E11" s="15"/>
      <c r="F11" s="14" t="s">
        <v>18</v>
      </c>
      <c r="G11" s="16"/>
      <c r="H11" s="16">
        <f t="shared" si="0"/>
        <v>0</v>
      </c>
      <c r="I11" s="16"/>
      <c r="J11" s="16"/>
      <c r="K11" s="16">
        <f t="shared" si="1"/>
        <v>0</v>
      </c>
      <c r="L11" s="17" t="s">
        <v>15</v>
      </c>
      <c r="M11" s="18" t="s">
        <v>19</v>
      </c>
      <c r="N11" s="19"/>
      <c r="O11" s="14"/>
    </row>
    <row r="12" spans="1:20" ht="21" customHeight="1" x14ac:dyDescent="0.3">
      <c r="A12" s="10">
        <v>9</v>
      </c>
      <c r="B12" s="114"/>
      <c r="C12" s="115"/>
      <c r="D12" s="14" t="s">
        <v>17</v>
      </c>
      <c r="E12" s="15"/>
      <c r="F12" s="14" t="s">
        <v>18</v>
      </c>
      <c r="G12" s="16"/>
      <c r="H12" s="16">
        <f t="shared" si="0"/>
        <v>0</v>
      </c>
      <c r="I12" s="16"/>
      <c r="J12" s="16"/>
      <c r="K12" s="16">
        <f t="shared" si="1"/>
        <v>0</v>
      </c>
      <c r="L12" s="17" t="s">
        <v>15</v>
      </c>
      <c r="M12" s="18" t="s">
        <v>19</v>
      </c>
      <c r="N12" s="19"/>
      <c r="O12" s="14"/>
    </row>
    <row r="13" spans="1:20" ht="21" customHeight="1" x14ac:dyDescent="0.3">
      <c r="A13" s="10">
        <v>10</v>
      </c>
      <c r="B13" s="114"/>
      <c r="C13" s="115"/>
      <c r="D13" s="14" t="s">
        <v>17</v>
      </c>
      <c r="E13" s="15"/>
      <c r="F13" s="14" t="s">
        <v>18</v>
      </c>
      <c r="G13" s="16"/>
      <c r="H13" s="16">
        <f t="shared" si="0"/>
        <v>0</v>
      </c>
      <c r="I13" s="16"/>
      <c r="J13" s="16"/>
      <c r="K13" s="16">
        <f t="shared" si="1"/>
        <v>0</v>
      </c>
      <c r="L13" s="17" t="s">
        <v>15</v>
      </c>
      <c r="M13" s="18" t="s">
        <v>19</v>
      </c>
      <c r="N13" s="19"/>
      <c r="O13" s="14"/>
    </row>
    <row r="14" spans="1:20" ht="21" customHeight="1" x14ac:dyDescent="0.3">
      <c r="A14" s="10">
        <v>11</v>
      </c>
      <c r="B14" s="114"/>
      <c r="C14" s="115"/>
      <c r="D14" s="14" t="s">
        <v>17</v>
      </c>
      <c r="E14" s="15"/>
      <c r="F14" s="14" t="s">
        <v>18</v>
      </c>
      <c r="G14" s="16"/>
      <c r="H14" s="16">
        <f t="shared" si="0"/>
        <v>0</v>
      </c>
      <c r="I14" s="16"/>
      <c r="J14" s="16"/>
      <c r="K14" s="16">
        <f t="shared" si="1"/>
        <v>0</v>
      </c>
      <c r="L14" s="17" t="s">
        <v>15</v>
      </c>
      <c r="M14" s="18" t="s">
        <v>19</v>
      </c>
      <c r="N14" s="19"/>
      <c r="O14" s="14"/>
    </row>
    <row r="15" spans="1:20" ht="21" customHeight="1" x14ac:dyDescent="0.3">
      <c r="A15" s="10">
        <v>12</v>
      </c>
      <c r="B15" s="114"/>
      <c r="C15" s="115"/>
      <c r="D15" s="14" t="s">
        <v>17</v>
      </c>
      <c r="E15" s="15"/>
      <c r="F15" s="14" t="s">
        <v>18</v>
      </c>
      <c r="G15" s="16"/>
      <c r="H15" s="16">
        <f t="shared" si="0"/>
        <v>0</v>
      </c>
      <c r="I15" s="16"/>
      <c r="J15" s="16"/>
      <c r="K15" s="16">
        <f t="shared" si="1"/>
        <v>0</v>
      </c>
      <c r="L15" s="17" t="s">
        <v>15</v>
      </c>
      <c r="M15" s="18" t="s">
        <v>19</v>
      </c>
      <c r="N15" s="19"/>
      <c r="O15" s="14"/>
    </row>
    <row r="16" spans="1:20" ht="21" customHeight="1" x14ac:dyDescent="0.3">
      <c r="A16" s="10">
        <v>13</v>
      </c>
      <c r="B16" s="114"/>
      <c r="C16" s="115"/>
      <c r="D16" s="14" t="s">
        <v>17</v>
      </c>
      <c r="E16" s="15"/>
      <c r="F16" s="14" t="s">
        <v>18</v>
      </c>
      <c r="G16" s="16"/>
      <c r="H16" s="16">
        <f t="shared" si="0"/>
        <v>0</v>
      </c>
      <c r="I16" s="16"/>
      <c r="J16" s="16"/>
      <c r="K16" s="16">
        <f t="shared" si="1"/>
        <v>0</v>
      </c>
      <c r="L16" s="17" t="s">
        <v>15</v>
      </c>
      <c r="M16" s="18" t="s">
        <v>19</v>
      </c>
      <c r="N16" s="19"/>
      <c r="O16" s="14"/>
    </row>
    <row r="17" spans="1:17" ht="21" customHeight="1" x14ac:dyDescent="0.3">
      <c r="A17" s="10">
        <v>14</v>
      </c>
      <c r="B17" s="114"/>
      <c r="C17" s="115"/>
      <c r="D17" s="14" t="s">
        <v>17</v>
      </c>
      <c r="E17" s="15"/>
      <c r="F17" s="14" t="s">
        <v>18</v>
      </c>
      <c r="G17" s="16"/>
      <c r="H17" s="16">
        <f t="shared" si="0"/>
        <v>0</v>
      </c>
      <c r="I17" s="16"/>
      <c r="J17" s="16"/>
      <c r="K17" s="16">
        <f t="shared" si="1"/>
        <v>0</v>
      </c>
      <c r="L17" s="17" t="s">
        <v>15</v>
      </c>
      <c r="M17" s="18" t="s">
        <v>19</v>
      </c>
      <c r="N17" s="19"/>
      <c r="O17" s="14"/>
    </row>
    <row r="18" spans="1:17" ht="21" customHeight="1" x14ac:dyDescent="0.3">
      <c r="A18" s="10">
        <v>15</v>
      </c>
      <c r="B18" s="114"/>
      <c r="C18" s="115"/>
      <c r="D18" s="14" t="s">
        <v>17</v>
      </c>
      <c r="E18" s="15"/>
      <c r="F18" s="14" t="s">
        <v>18</v>
      </c>
      <c r="G18" s="16"/>
      <c r="H18" s="16">
        <f t="shared" si="0"/>
        <v>0</v>
      </c>
      <c r="I18" s="16"/>
      <c r="J18" s="16"/>
      <c r="K18" s="16">
        <f t="shared" si="1"/>
        <v>0</v>
      </c>
      <c r="L18" s="17" t="s">
        <v>15</v>
      </c>
      <c r="M18" s="18" t="s">
        <v>19</v>
      </c>
      <c r="N18" s="19"/>
      <c r="O18" s="14"/>
    </row>
    <row r="19" spans="1:17" ht="21" customHeight="1" x14ac:dyDescent="0.3">
      <c r="A19" s="10">
        <v>16</v>
      </c>
      <c r="B19" s="114"/>
      <c r="C19" s="115"/>
      <c r="D19" s="14" t="s">
        <v>17</v>
      </c>
      <c r="E19" s="15"/>
      <c r="F19" s="14" t="s">
        <v>18</v>
      </c>
      <c r="G19" s="16"/>
      <c r="H19" s="16">
        <f t="shared" si="0"/>
        <v>0</v>
      </c>
      <c r="I19" s="16"/>
      <c r="J19" s="16"/>
      <c r="K19" s="16">
        <f t="shared" si="1"/>
        <v>0</v>
      </c>
      <c r="L19" s="17" t="s">
        <v>15</v>
      </c>
      <c r="M19" s="18" t="s">
        <v>19</v>
      </c>
      <c r="N19" s="19"/>
      <c r="O19" s="14"/>
    </row>
    <row r="20" spans="1:17" ht="21" customHeight="1" x14ac:dyDescent="0.3">
      <c r="G20" s="85">
        <f>SUMIF(L3:L19,"P",G3:G19)</f>
        <v>300</v>
      </c>
      <c r="H20" s="85">
        <f>SUMIF(L3:L19,"P",H3:H19)</f>
        <v>48</v>
      </c>
      <c r="I20" s="85">
        <f>SUMIF(L3:L19,"P",I3:I19)</f>
        <v>16</v>
      </c>
      <c r="J20" s="85">
        <f>SUMIF(L3:L19,"P",J3:J19)</f>
        <v>8</v>
      </c>
      <c r="K20" s="85">
        <f>SUMIF(L3:L19,"P",K3:K19)</f>
        <v>324</v>
      </c>
      <c r="M20" s="117" t="s">
        <v>591</v>
      </c>
      <c r="N20" s="117"/>
      <c r="O20" s="117"/>
      <c r="P20" s="117"/>
      <c r="Q20" s="117"/>
    </row>
    <row r="21" spans="1:17" ht="21" customHeight="1" x14ac:dyDescent="0.3">
      <c r="J21" s="22" t="s">
        <v>20</v>
      </c>
    </row>
    <row r="22" spans="1:17" ht="21" customHeight="1" x14ac:dyDescent="0.3">
      <c r="B22" s="116" t="s">
        <v>6</v>
      </c>
      <c r="C22" s="116"/>
      <c r="D22" s="11" t="s">
        <v>7</v>
      </c>
      <c r="E22" s="12" t="s">
        <v>8</v>
      </c>
      <c r="F22" s="11" t="s">
        <v>9</v>
      </c>
      <c r="G22" s="13" t="s">
        <v>10</v>
      </c>
      <c r="H22" s="13" t="s">
        <v>11</v>
      </c>
      <c r="I22" s="13" t="s">
        <v>12</v>
      </c>
      <c r="J22" s="13" t="s">
        <v>13</v>
      </c>
      <c r="K22" s="13" t="s">
        <v>14</v>
      </c>
      <c r="L22" s="13" t="s">
        <v>15</v>
      </c>
      <c r="M22" s="116" t="s">
        <v>6</v>
      </c>
      <c r="N22" s="116"/>
      <c r="O22" s="11" t="s">
        <v>16</v>
      </c>
    </row>
    <row r="23" spans="1:17" ht="21" customHeight="1" x14ac:dyDescent="0.3">
      <c r="A23" s="10">
        <f>A22+1</f>
        <v>1</v>
      </c>
      <c r="B23" s="18" t="s">
        <v>21</v>
      </c>
      <c r="C23" s="19"/>
      <c r="D23" s="17" t="s">
        <v>22</v>
      </c>
      <c r="E23" s="15"/>
      <c r="F23" s="14"/>
      <c r="G23" s="16"/>
      <c r="H23" s="87">
        <f t="shared" ref="H23:H41" si="3">G23*16%</f>
        <v>0</v>
      </c>
      <c r="I23" s="16">
        <f>G23*4%</f>
        <v>0</v>
      </c>
      <c r="J23" s="16">
        <v>0</v>
      </c>
      <c r="K23" s="87">
        <f t="shared" ref="K23:K41" si="4">G23+H23-I23-J23</f>
        <v>0</v>
      </c>
      <c r="L23" s="14" t="s">
        <v>15</v>
      </c>
      <c r="M23" s="90" t="s">
        <v>19</v>
      </c>
      <c r="N23" s="19"/>
      <c r="O23" s="14"/>
    </row>
    <row r="24" spans="1:17" ht="21" customHeight="1" x14ac:dyDescent="0.3">
      <c r="A24" s="10">
        <f>A23+1</f>
        <v>2</v>
      </c>
      <c r="B24" s="18" t="s">
        <v>21</v>
      </c>
      <c r="C24" s="19"/>
      <c r="D24" s="17" t="s">
        <v>22</v>
      </c>
      <c r="E24" s="15"/>
      <c r="F24" s="14"/>
      <c r="G24" s="16"/>
      <c r="H24" s="16">
        <f t="shared" si="3"/>
        <v>0</v>
      </c>
      <c r="I24" s="16">
        <f>G24*4%</f>
        <v>0</v>
      </c>
      <c r="J24" s="16">
        <v>0</v>
      </c>
      <c r="K24" s="16">
        <f t="shared" si="4"/>
        <v>0</v>
      </c>
      <c r="L24" s="14" t="s">
        <v>15</v>
      </c>
      <c r="M24" s="18" t="s">
        <v>19</v>
      </c>
      <c r="N24" s="19"/>
      <c r="O24" s="14"/>
    </row>
    <row r="25" spans="1:17" ht="21" customHeight="1" x14ac:dyDescent="0.3">
      <c r="A25" s="10">
        <f>A24+1</f>
        <v>3</v>
      </c>
      <c r="B25" s="18" t="s">
        <v>21</v>
      </c>
      <c r="C25" s="19"/>
      <c r="D25" s="17" t="s">
        <v>22</v>
      </c>
      <c r="E25" s="15"/>
      <c r="F25" s="14"/>
      <c r="G25" s="16"/>
      <c r="H25" s="16">
        <f t="shared" si="3"/>
        <v>0</v>
      </c>
      <c r="I25" s="16">
        <f t="shared" ref="I25" si="5">G25*4%</f>
        <v>0</v>
      </c>
      <c r="J25" s="16">
        <v>0</v>
      </c>
      <c r="K25" s="16">
        <f t="shared" si="4"/>
        <v>0</v>
      </c>
      <c r="L25" s="14" t="s">
        <v>15</v>
      </c>
      <c r="M25" s="18" t="s">
        <v>19</v>
      </c>
      <c r="N25" s="19"/>
      <c r="O25" s="14"/>
    </row>
    <row r="26" spans="1:17" ht="21" customHeight="1" x14ac:dyDescent="0.3">
      <c r="A26" s="10">
        <f>A25+1</f>
        <v>4</v>
      </c>
      <c r="B26" s="18" t="s">
        <v>21</v>
      </c>
      <c r="C26" s="19"/>
      <c r="D26" s="17" t="s">
        <v>22</v>
      </c>
      <c r="E26" s="15"/>
      <c r="F26" s="14"/>
      <c r="G26" s="16"/>
      <c r="H26" s="16">
        <f t="shared" si="3"/>
        <v>0</v>
      </c>
      <c r="I26" s="16">
        <v>0</v>
      </c>
      <c r="J26" s="16">
        <v>0</v>
      </c>
      <c r="K26" s="16">
        <f t="shared" si="4"/>
        <v>0</v>
      </c>
      <c r="L26" s="14" t="s">
        <v>15</v>
      </c>
      <c r="M26" s="18" t="s">
        <v>19</v>
      </c>
      <c r="N26" s="19"/>
      <c r="O26" s="14"/>
    </row>
    <row r="27" spans="1:17" ht="21" customHeight="1" x14ac:dyDescent="0.3">
      <c r="A27" s="10">
        <f t="shared" ref="A27:A41" si="6">A26+1</f>
        <v>5</v>
      </c>
      <c r="B27" s="18" t="s">
        <v>21</v>
      </c>
      <c r="C27" s="19"/>
      <c r="D27" s="17" t="s">
        <v>22</v>
      </c>
      <c r="E27" s="15"/>
      <c r="F27" s="14"/>
      <c r="G27" s="16"/>
      <c r="H27" s="16">
        <f t="shared" si="3"/>
        <v>0</v>
      </c>
      <c r="I27" s="16">
        <v>0</v>
      </c>
      <c r="J27" s="16">
        <v>0</v>
      </c>
      <c r="K27" s="16">
        <f t="shared" si="4"/>
        <v>0</v>
      </c>
      <c r="L27" s="14" t="s">
        <v>15</v>
      </c>
      <c r="M27" s="18" t="s">
        <v>19</v>
      </c>
      <c r="N27" s="19"/>
      <c r="O27" s="14"/>
    </row>
    <row r="28" spans="1:17" ht="21" customHeight="1" x14ac:dyDescent="0.3">
      <c r="A28" s="10">
        <f t="shared" si="6"/>
        <v>6</v>
      </c>
      <c r="B28" s="18" t="s">
        <v>21</v>
      </c>
      <c r="C28" s="19"/>
      <c r="D28" s="17" t="s">
        <v>22</v>
      </c>
      <c r="E28" s="15"/>
      <c r="F28" s="14"/>
      <c r="G28" s="16"/>
      <c r="H28" s="16">
        <f t="shared" si="3"/>
        <v>0</v>
      </c>
      <c r="I28" s="16">
        <f t="shared" ref="I28:I29" si="7">G28*4%</f>
        <v>0</v>
      </c>
      <c r="J28" s="16">
        <v>0</v>
      </c>
      <c r="K28" s="16">
        <f t="shared" si="4"/>
        <v>0</v>
      </c>
      <c r="L28" s="14" t="s">
        <v>15</v>
      </c>
      <c r="M28" s="18" t="s">
        <v>19</v>
      </c>
      <c r="N28" s="19"/>
      <c r="O28" s="14"/>
    </row>
    <row r="29" spans="1:17" ht="21" customHeight="1" x14ac:dyDescent="0.3">
      <c r="A29" s="10">
        <f t="shared" si="6"/>
        <v>7</v>
      </c>
      <c r="B29" s="18" t="s">
        <v>21</v>
      </c>
      <c r="C29" s="19"/>
      <c r="D29" s="17" t="s">
        <v>22</v>
      </c>
      <c r="E29" s="15"/>
      <c r="F29" s="14"/>
      <c r="G29" s="16"/>
      <c r="H29" s="16">
        <f t="shared" si="3"/>
        <v>0</v>
      </c>
      <c r="I29" s="16">
        <f t="shared" si="7"/>
        <v>0</v>
      </c>
      <c r="J29" s="16">
        <v>0</v>
      </c>
      <c r="K29" s="16">
        <f t="shared" si="4"/>
        <v>0</v>
      </c>
      <c r="L29" s="14" t="s">
        <v>15</v>
      </c>
      <c r="M29" s="18" t="s">
        <v>19</v>
      </c>
      <c r="N29" s="19"/>
      <c r="O29" s="14"/>
    </row>
    <row r="30" spans="1:17" ht="21" customHeight="1" x14ac:dyDescent="0.3">
      <c r="A30" s="10">
        <f t="shared" si="6"/>
        <v>8</v>
      </c>
      <c r="B30" s="18" t="s">
        <v>21</v>
      </c>
      <c r="C30" s="19"/>
      <c r="D30" s="17" t="s">
        <v>22</v>
      </c>
      <c r="E30" s="15"/>
      <c r="F30" s="14"/>
      <c r="G30" s="16"/>
      <c r="H30" s="16">
        <f t="shared" si="3"/>
        <v>0</v>
      </c>
      <c r="I30" s="16">
        <v>0</v>
      </c>
      <c r="J30" s="16">
        <v>0</v>
      </c>
      <c r="K30" s="16">
        <f t="shared" si="4"/>
        <v>0</v>
      </c>
      <c r="L30" s="14" t="s">
        <v>15</v>
      </c>
      <c r="M30" s="18" t="s">
        <v>19</v>
      </c>
      <c r="N30" s="19"/>
      <c r="O30" s="14"/>
    </row>
    <row r="31" spans="1:17" ht="21" customHeight="1" x14ac:dyDescent="0.3">
      <c r="A31" s="10">
        <f t="shared" si="6"/>
        <v>9</v>
      </c>
      <c r="B31" s="18" t="s">
        <v>21</v>
      </c>
      <c r="C31" s="19"/>
      <c r="D31" s="17" t="s">
        <v>22</v>
      </c>
      <c r="E31" s="15"/>
      <c r="F31" s="14"/>
      <c r="G31" s="16"/>
      <c r="H31" s="16">
        <f t="shared" si="3"/>
        <v>0</v>
      </c>
      <c r="I31" s="16">
        <v>0</v>
      </c>
      <c r="J31" s="16">
        <v>0</v>
      </c>
      <c r="K31" s="16">
        <f t="shared" si="4"/>
        <v>0</v>
      </c>
      <c r="L31" s="14" t="s">
        <v>15</v>
      </c>
      <c r="M31" s="18" t="s">
        <v>19</v>
      </c>
      <c r="N31" s="19"/>
      <c r="O31" s="14"/>
    </row>
    <row r="32" spans="1:17" ht="21" customHeight="1" x14ac:dyDescent="0.3">
      <c r="A32" s="10">
        <f t="shared" si="6"/>
        <v>10</v>
      </c>
      <c r="B32" s="18" t="s">
        <v>21</v>
      </c>
      <c r="C32" s="19"/>
      <c r="D32" s="17" t="s">
        <v>22</v>
      </c>
      <c r="E32" s="15"/>
      <c r="F32" s="14"/>
      <c r="G32" s="16"/>
      <c r="H32" s="16">
        <f t="shared" si="3"/>
        <v>0</v>
      </c>
      <c r="I32" s="16"/>
      <c r="J32" s="16">
        <v>0</v>
      </c>
      <c r="K32" s="16">
        <f t="shared" si="4"/>
        <v>0</v>
      </c>
      <c r="L32" s="14" t="s">
        <v>15</v>
      </c>
      <c r="M32" s="18" t="s">
        <v>19</v>
      </c>
      <c r="N32" s="19"/>
      <c r="O32" s="14"/>
    </row>
    <row r="33" spans="1:15" ht="21" customHeight="1" x14ac:dyDescent="0.3">
      <c r="A33" s="10">
        <f t="shared" si="6"/>
        <v>11</v>
      </c>
      <c r="B33" s="18" t="s">
        <v>21</v>
      </c>
      <c r="C33" s="19"/>
      <c r="D33" s="17" t="s">
        <v>22</v>
      </c>
      <c r="E33" s="15"/>
      <c r="F33" s="14"/>
      <c r="G33" s="16"/>
      <c r="H33" s="16">
        <f t="shared" si="3"/>
        <v>0</v>
      </c>
      <c r="I33" s="16"/>
      <c r="J33" s="16">
        <v>0</v>
      </c>
      <c r="K33" s="16">
        <f t="shared" si="4"/>
        <v>0</v>
      </c>
      <c r="L33" s="14" t="s">
        <v>15</v>
      </c>
      <c r="M33" s="18" t="s">
        <v>19</v>
      </c>
      <c r="N33" s="19"/>
      <c r="O33" s="14"/>
    </row>
    <row r="34" spans="1:15" ht="21" customHeight="1" x14ac:dyDescent="0.3">
      <c r="A34" s="10">
        <f t="shared" si="6"/>
        <v>12</v>
      </c>
      <c r="B34" s="18" t="s">
        <v>21</v>
      </c>
      <c r="C34" s="19"/>
      <c r="D34" s="17" t="s">
        <v>22</v>
      </c>
      <c r="E34" s="15"/>
      <c r="F34" s="14"/>
      <c r="G34" s="16"/>
      <c r="H34" s="16">
        <f t="shared" si="3"/>
        <v>0</v>
      </c>
      <c r="I34" s="16"/>
      <c r="J34" s="16">
        <v>0</v>
      </c>
      <c r="K34" s="16">
        <f t="shared" si="4"/>
        <v>0</v>
      </c>
      <c r="L34" s="14" t="s">
        <v>15</v>
      </c>
      <c r="M34" s="18" t="s">
        <v>19</v>
      </c>
      <c r="N34" s="19"/>
      <c r="O34" s="14"/>
    </row>
    <row r="35" spans="1:15" ht="21" customHeight="1" x14ac:dyDescent="0.3">
      <c r="A35" s="10">
        <f t="shared" si="6"/>
        <v>13</v>
      </c>
      <c r="B35" s="18" t="s">
        <v>21</v>
      </c>
      <c r="C35" s="19"/>
      <c r="D35" s="17" t="s">
        <v>22</v>
      </c>
      <c r="E35" s="15"/>
      <c r="F35" s="14"/>
      <c r="G35" s="16"/>
      <c r="H35" s="16">
        <f t="shared" si="3"/>
        <v>0</v>
      </c>
      <c r="I35" s="16"/>
      <c r="J35" s="16">
        <v>0</v>
      </c>
      <c r="K35" s="16">
        <f t="shared" si="4"/>
        <v>0</v>
      </c>
      <c r="L35" s="14" t="s">
        <v>15</v>
      </c>
      <c r="M35" s="18" t="s">
        <v>19</v>
      </c>
      <c r="N35" s="19"/>
      <c r="O35" s="14"/>
    </row>
    <row r="36" spans="1:15" ht="21" customHeight="1" x14ac:dyDescent="0.3">
      <c r="A36" s="10">
        <f t="shared" si="6"/>
        <v>14</v>
      </c>
      <c r="B36" s="18" t="s">
        <v>21</v>
      </c>
      <c r="C36" s="19"/>
      <c r="D36" s="17" t="s">
        <v>22</v>
      </c>
      <c r="E36" s="15"/>
      <c r="F36" s="14"/>
      <c r="G36" s="16"/>
      <c r="H36" s="16">
        <f t="shared" si="3"/>
        <v>0</v>
      </c>
      <c r="I36" s="16"/>
      <c r="J36" s="16">
        <v>0</v>
      </c>
      <c r="K36" s="16">
        <f t="shared" si="4"/>
        <v>0</v>
      </c>
      <c r="L36" s="14" t="s">
        <v>15</v>
      </c>
      <c r="M36" s="18" t="s">
        <v>19</v>
      </c>
      <c r="N36" s="19"/>
      <c r="O36" s="14"/>
    </row>
    <row r="37" spans="1:15" ht="21" customHeight="1" x14ac:dyDescent="0.3">
      <c r="A37" s="10">
        <f t="shared" si="6"/>
        <v>15</v>
      </c>
      <c r="B37" s="18" t="s">
        <v>21</v>
      </c>
      <c r="C37" s="19"/>
      <c r="D37" s="17" t="s">
        <v>22</v>
      </c>
      <c r="E37" s="15"/>
      <c r="F37" s="14"/>
      <c r="G37" s="16"/>
      <c r="H37" s="16">
        <f t="shared" si="3"/>
        <v>0</v>
      </c>
      <c r="I37" s="16"/>
      <c r="J37" s="16">
        <v>0</v>
      </c>
      <c r="K37" s="16">
        <f t="shared" si="4"/>
        <v>0</v>
      </c>
      <c r="L37" s="14" t="s">
        <v>15</v>
      </c>
      <c r="M37" s="18" t="s">
        <v>19</v>
      </c>
      <c r="N37" s="19"/>
      <c r="O37" s="14"/>
    </row>
    <row r="38" spans="1:15" ht="21" customHeight="1" x14ac:dyDescent="0.3">
      <c r="A38" s="10">
        <f t="shared" si="6"/>
        <v>16</v>
      </c>
      <c r="B38" s="18" t="s">
        <v>21</v>
      </c>
      <c r="C38" s="19"/>
      <c r="D38" s="17" t="s">
        <v>22</v>
      </c>
      <c r="E38" s="15"/>
      <c r="F38" s="14"/>
      <c r="G38" s="16"/>
      <c r="H38" s="16">
        <f t="shared" si="3"/>
        <v>0</v>
      </c>
      <c r="I38" s="16"/>
      <c r="J38" s="16">
        <v>0</v>
      </c>
      <c r="K38" s="16">
        <f t="shared" si="4"/>
        <v>0</v>
      </c>
      <c r="L38" s="14" t="s">
        <v>15</v>
      </c>
      <c r="M38" s="18" t="s">
        <v>19</v>
      </c>
      <c r="N38" s="19"/>
      <c r="O38" s="14"/>
    </row>
    <row r="39" spans="1:15" ht="21" customHeight="1" x14ac:dyDescent="0.3">
      <c r="A39" s="10">
        <f t="shared" si="6"/>
        <v>17</v>
      </c>
      <c r="B39" s="18" t="s">
        <v>21</v>
      </c>
      <c r="C39" s="19"/>
      <c r="D39" s="17" t="s">
        <v>22</v>
      </c>
      <c r="E39" s="15"/>
      <c r="F39" s="14"/>
      <c r="G39" s="16"/>
      <c r="H39" s="16">
        <f t="shared" si="3"/>
        <v>0</v>
      </c>
      <c r="I39" s="16"/>
      <c r="J39" s="16">
        <v>0</v>
      </c>
      <c r="K39" s="16">
        <f t="shared" si="4"/>
        <v>0</v>
      </c>
      <c r="L39" s="14" t="s">
        <v>15</v>
      </c>
      <c r="M39" s="18" t="s">
        <v>19</v>
      </c>
      <c r="N39" s="19"/>
      <c r="O39" s="14"/>
    </row>
    <row r="40" spans="1:15" ht="21" customHeight="1" x14ac:dyDescent="0.3">
      <c r="A40" s="10">
        <f t="shared" si="6"/>
        <v>18</v>
      </c>
      <c r="B40" s="18" t="s">
        <v>21</v>
      </c>
      <c r="C40" s="19"/>
      <c r="D40" s="17" t="s">
        <v>22</v>
      </c>
      <c r="E40" s="15"/>
      <c r="F40" s="14"/>
      <c r="G40" s="16"/>
      <c r="H40" s="16">
        <f t="shared" si="3"/>
        <v>0</v>
      </c>
      <c r="I40" s="16"/>
      <c r="J40" s="16">
        <v>0</v>
      </c>
      <c r="K40" s="16">
        <f t="shared" si="4"/>
        <v>0</v>
      </c>
      <c r="L40" s="14" t="s">
        <v>15</v>
      </c>
      <c r="M40" s="18" t="s">
        <v>19</v>
      </c>
      <c r="N40" s="19"/>
      <c r="O40" s="14"/>
    </row>
    <row r="41" spans="1:15" ht="21" customHeight="1" x14ac:dyDescent="0.3">
      <c r="A41" s="10">
        <f t="shared" si="6"/>
        <v>19</v>
      </c>
      <c r="B41" s="18" t="s">
        <v>21</v>
      </c>
      <c r="C41" s="19"/>
      <c r="D41" s="17" t="s">
        <v>22</v>
      </c>
      <c r="E41" s="15"/>
      <c r="F41" s="14"/>
      <c r="G41" s="16"/>
      <c r="H41" s="16">
        <f t="shared" si="3"/>
        <v>0</v>
      </c>
      <c r="I41" s="16"/>
      <c r="J41" s="16">
        <v>0</v>
      </c>
      <c r="K41" s="16">
        <f t="shared" si="4"/>
        <v>0</v>
      </c>
      <c r="L41" s="14" t="s">
        <v>15</v>
      </c>
      <c r="M41" s="18" t="s">
        <v>19</v>
      </c>
      <c r="N41" s="19"/>
      <c r="O41" s="14"/>
    </row>
    <row r="42" spans="1:15" ht="21" customHeight="1" x14ac:dyDescent="0.3">
      <c r="G42" s="21">
        <f>SUMIF(L23:L41,"P",G23:G41)</f>
        <v>0</v>
      </c>
      <c r="H42" s="21">
        <f>SUMIF(L23:L41,"P",H23:H41)</f>
        <v>0</v>
      </c>
      <c r="I42" s="21">
        <f>SUMIF(L23:L41,"P",I23:I41)</f>
        <v>0</v>
      </c>
      <c r="J42" s="21">
        <f>SUMIF(L23:L41,"P",J23:J41)</f>
        <v>0</v>
      </c>
      <c r="K42" s="21">
        <f>SUMIF(L23:L41,"P",K23:K41)</f>
        <v>0</v>
      </c>
    </row>
    <row r="43" spans="1:15" ht="21" customHeight="1" x14ac:dyDescent="0.3">
      <c r="G43" s="10"/>
      <c r="H43" s="10"/>
      <c r="I43" s="10"/>
      <c r="J43" s="10"/>
      <c r="K43" s="10"/>
    </row>
    <row r="44" spans="1:15" ht="21" customHeight="1" x14ac:dyDescent="0.3">
      <c r="B44" s="116" t="s">
        <v>6</v>
      </c>
      <c r="C44" s="116"/>
      <c r="D44" s="11" t="s">
        <v>7</v>
      </c>
      <c r="E44" s="12" t="s">
        <v>8</v>
      </c>
      <c r="F44" s="11" t="s">
        <v>9</v>
      </c>
      <c r="G44" s="13" t="s">
        <v>10</v>
      </c>
      <c r="H44" s="13" t="s">
        <v>11</v>
      </c>
      <c r="I44" s="13" t="s">
        <v>12</v>
      </c>
      <c r="J44" s="13" t="s">
        <v>13</v>
      </c>
      <c r="K44" s="13" t="s">
        <v>14</v>
      </c>
      <c r="L44" s="13" t="s">
        <v>15</v>
      </c>
      <c r="M44" s="116" t="s">
        <v>6</v>
      </c>
      <c r="N44" s="116"/>
      <c r="O44" s="11" t="s">
        <v>16</v>
      </c>
    </row>
    <row r="45" spans="1:15" ht="21" customHeight="1" x14ac:dyDescent="0.3">
      <c r="A45" s="10">
        <f>A44+1</f>
        <v>1</v>
      </c>
      <c r="B45" s="18"/>
      <c r="C45" s="19"/>
      <c r="D45" s="17" t="s">
        <v>23</v>
      </c>
      <c r="E45" s="15"/>
      <c r="F45" s="14"/>
      <c r="G45" s="16"/>
      <c r="H45" s="16">
        <f t="shared" ref="H45:H63" si="8">G45*16%</f>
        <v>0</v>
      </c>
      <c r="I45" s="16">
        <v>0</v>
      </c>
      <c r="J45" s="16">
        <v>0</v>
      </c>
      <c r="K45" s="16">
        <f t="shared" ref="K45:K63" si="9">G45+H45-I45-J45</f>
        <v>0</v>
      </c>
      <c r="L45" s="14" t="s">
        <v>15</v>
      </c>
      <c r="M45" s="18" t="s">
        <v>19</v>
      </c>
      <c r="N45" s="19"/>
      <c r="O45" s="14"/>
    </row>
    <row r="46" spans="1:15" ht="21" customHeight="1" x14ac:dyDescent="0.3">
      <c r="A46" s="10">
        <f>A45+1</f>
        <v>2</v>
      </c>
      <c r="B46" s="18"/>
      <c r="C46" s="19"/>
      <c r="D46" s="17"/>
      <c r="E46" s="15"/>
      <c r="F46" s="14"/>
      <c r="G46" s="16"/>
      <c r="H46" s="16">
        <f t="shared" si="8"/>
        <v>0</v>
      </c>
      <c r="I46" s="16">
        <v>0</v>
      </c>
      <c r="J46" s="16">
        <v>0</v>
      </c>
      <c r="K46" s="16">
        <f t="shared" si="9"/>
        <v>0</v>
      </c>
      <c r="L46" s="14" t="s">
        <v>15</v>
      </c>
      <c r="M46" s="18" t="s">
        <v>19</v>
      </c>
      <c r="N46" s="19"/>
      <c r="O46" s="14"/>
    </row>
    <row r="47" spans="1:15" ht="21" customHeight="1" x14ac:dyDescent="0.3">
      <c r="A47" s="10">
        <f>A46+1</f>
        <v>3</v>
      </c>
      <c r="B47" s="18"/>
      <c r="C47" s="19"/>
      <c r="D47" s="17"/>
      <c r="E47" s="15"/>
      <c r="F47" s="14"/>
      <c r="G47" s="16"/>
      <c r="H47" s="16">
        <f t="shared" si="8"/>
        <v>0</v>
      </c>
      <c r="I47" s="16">
        <v>0</v>
      </c>
      <c r="J47" s="16">
        <v>0</v>
      </c>
      <c r="K47" s="16">
        <f t="shared" si="9"/>
        <v>0</v>
      </c>
      <c r="L47" s="14" t="s">
        <v>15</v>
      </c>
      <c r="M47" s="18" t="s">
        <v>19</v>
      </c>
      <c r="N47" s="19"/>
      <c r="O47" s="14"/>
    </row>
    <row r="48" spans="1:15" ht="21" hidden="1" customHeight="1" x14ac:dyDescent="0.3">
      <c r="A48" s="10">
        <f>A47+1</f>
        <v>4</v>
      </c>
      <c r="B48" s="18" t="s">
        <v>24</v>
      </c>
      <c r="C48" s="19"/>
      <c r="D48" s="17"/>
      <c r="E48" s="15"/>
      <c r="F48" s="14"/>
      <c r="G48" s="16"/>
      <c r="H48" s="16">
        <f t="shared" si="8"/>
        <v>0</v>
      </c>
      <c r="I48" s="16">
        <v>0</v>
      </c>
      <c r="J48" s="16">
        <v>0</v>
      </c>
      <c r="K48" s="16">
        <f t="shared" si="9"/>
        <v>0</v>
      </c>
      <c r="L48" s="14" t="s">
        <v>15</v>
      </c>
      <c r="M48" s="18" t="s">
        <v>19</v>
      </c>
      <c r="N48" s="19"/>
      <c r="O48" s="14"/>
    </row>
    <row r="49" spans="1:15" ht="21" hidden="1" customHeight="1" x14ac:dyDescent="0.3">
      <c r="A49" s="10">
        <f t="shared" ref="A49:A63" si="10">A48+1</f>
        <v>5</v>
      </c>
      <c r="B49" s="18" t="s">
        <v>24</v>
      </c>
      <c r="C49" s="19"/>
      <c r="D49" s="17"/>
      <c r="E49" s="15"/>
      <c r="F49" s="14"/>
      <c r="G49" s="16"/>
      <c r="H49" s="16">
        <f t="shared" si="8"/>
        <v>0</v>
      </c>
      <c r="I49" s="16">
        <v>0</v>
      </c>
      <c r="J49" s="16">
        <v>0</v>
      </c>
      <c r="K49" s="16">
        <f t="shared" si="9"/>
        <v>0</v>
      </c>
      <c r="L49" s="14" t="s">
        <v>15</v>
      </c>
      <c r="M49" s="18" t="s">
        <v>19</v>
      </c>
      <c r="N49" s="19"/>
      <c r="O49" s="14"/>
    </row>
    <row r="50" spans="1:15" ht="21" hidden="1" customHeight="1" x14ac:dyDescent="0.3">
      <c r="A50" s="10">
        <f t="shared" si="10"/>
        <v>6</v>
      </c>
      <c r="B50" s="18" t="s">
        <v>24</v>
      </c>
      <c r="C50" s="19"/>
      <c r="D50" s="17"/>
      <c r="E50" s="15"/>
      <c r="F50" s="14"/>
      <c r="G50" s="16"/>
      <c r="H50" s="16">
        <f t="shared" si="8"/>
        <v>0</v>
      </c>
      <c r="I50" s="16">
        <v>0</v>
      </c>
      <c r="J50" s="16">
        <v>0</v>
      </c>
      <c r="K50" s="16">
        <f t="shared" si="9"/>
        <v>0</v>
      </c>
      <c r="L50" s="14" t="s">
        <v>15</v>
      </c>
      <c r="M50" s="18" t="s">
        <v>19</v>
      </c>
      <c r="N50" s="19"/>
      <c r="O50" s="14"/>
    </row>
    <row r="51" spans="1:15" ht="21" hidden="1" customHeight="1" x14ac:dyDescent="0.3">
      <c r="A51" s="10">
        <f t="shared" si="10"/>
        <v>7</v>
      </c>
      <c r="B51" s="18" t="s">
        <v>24</v>
      </c>
      <c r="C51" s="19"/>
      <c r="D51" s="17"/>
      <c r="E51" s="15"/>
      <c r="F51" s="14"/>
      <c r="G51" s="16"/>
      <c r="H51" s="16">
        <f t="shared" si="8"/>
        <v>0</v>
      </c>
      <c r="I51" s="16">
        <v>0</v>
      </c>
      <c r="J51" s="16">
        <v>0</v>
      </c>
      <c r="K51" s="16">
        <f t="shared" si="9"/>
        <v>0</v>
      </c>
      <c r="L51" s="14" t="s">
        <v>15</v>
      </c>
      <c r="M51" s="18" t="s">
        <v>19</v>
      </c>
      <c r="N51" s="19"/>
      <c r="O51" s="14"/>
    </row>
    <row r="52" spans="1:15" ht="21" hidden="1" customHeight="1" x14ac:dyDescent="0.3">
      <c r="A52" s="10">
        <f t="shared" si="10"/>
        <v>8</v>
      </c>
      <c r="B52" s="18" t="s">
        <v>24</v>
      </c>
      <c r="C52" s="19"/>
      <c r="D52" s="17"/>
      <c r="E52" s="15"/>
      <c r="F52" s="14"/>
      <c r="G52" s="16"/>
      <c r="H52" s="16">
        <f t="shared" si="8"/>
        <v>0</v>
      </c>
      <c r="I52" s="16">
        <v>0</v>
      </c>
      <c r="J52" s="16">
        <v>0</v>
      </c>
      <c r="K52" s="16">
        <f t="shared" si="9"/>
        <v>0</v>
      </c>
      <c r="L52" s="14" t="s">
        <v>15</v>
      </c>
      <c r="M52" s="18" t="s">
        <v>19</v>
      </c>
      <c r="N52" s="19"/>
      <c r="O52" s="14"/>
    </row>
    <row r="53" spans="1:15" ht="21" hidden="1" customHeight="1" x14ac:dyDescent="0.3">
      <c r="A53" s="10">
        <f t="shared" si="10"/>
        <v>9</v>
      </c>
      <c r="B53" s="18" t="s">
        <v>24</v>
      </c>
      <c r="C53" s="19"/>
      <c r="D53" s="17"/>
      <c r="E53" s="15"/>
      <c r="F53" s="14"/>
      <c r="G53" s="16"/>
      <c r="H53" s="16">
        <f t="shared" si="8"/>
        <v>0</v>
      </c>
      <c r="I53" s="16">
        <v>0</v>
      </c>
      <c r="J53" s="16">
        <v>0</v>
      </c>
      <c r="K53" s="16">
        <f t="shared" si="9"/>
        <v>0</v>
      </c>
      <c r="L53" s="14" t="s">
        <v>15</v>
      </c>
      <c r="M53" s="18" t="s">
        <v>19</v>
      </c>
      <c r="N53" s="19"/>
      <c r="O53" s="14"/>
    </row>
    <row r="54" spans="1:15" ht="21" hidden="1" customHeight="1" x14ac:dyDescent="0.3">
      <c r="A54" s="10">
        <f t="shared" si="10"/>
        <v>10</v>
      </c>
      <c r="B54" s="18" t="s">
        <v>24</v>
      </c>
      <c r="C54" s="19"/>
      <c r="D54" s="17"/>
      <c r="E54" s="15"/>
      <c r="F54" s="14"/>
      <c r="G54" s="16"/>
      <c r="H54" s="16">
        <f t="shared" si="8"/>
        <v>0</v>
      </c>
      <c r="I54" s="16">
        <v>0</v>
      </c>
      <c r="J54" s="16">
        <v>0</v>
      </c>
      <c r="K54" s="16">
        <f t="shared" si="9"/>
        <v>0</v>
      </c>
      <c r="L54" s="14" t="s">
        <v>15</v>
      </c>
      <c r="M54" s="18" t="s">
        <v>19</v>
      </c>
      <c r="N54" s="19"/>
      <c r="O54" s="14"/>
    </row>
    <row r="55" spans="1:15" ht="21" hidden="1" customHeight="1" x14ac:dyDescent="0.3">
      <c r="A55" s="10">
        <f t="shared" si="10"/>
        <v>11</v>
      </c>
      <c r="B55" s="18" t="s">
        <v>24</v>
      </c>
      <c r="C55" s="19"/>
      <c r="D55" s="17"/>
      <c r="E55" s="15"/>
      <c r="F55" s="14"/>
      <c r="G55" s="16"/>
      <c r="H55" s="16">
        <f t="shared" si="8"/>
        <v>0</v>
      </c>
      <c r="I55" s="16">
        <v>0</v>
      </c>
      <c r="J55" s="16">
        <v>0</v>
      </c>
      <c r="K55" s="16">
        <f t="shared" si="9"/>
        <v>0</v>
      </c>
      <c r="L55" s="14" t="s">
        <v>15</v>
      </c>
      <c r="M55" s="18" t="s">
        <v>19</v>
      </c>
      <c r="N55" s="19"/>
      <c r="O55" s="14"/>
    </row>
    <row r="56" spans="1:15" ht="21" hidden="1" customHeight="1" x14ac:dyDescent="0.3">
      <c r="A56" s="10">
        <f t="shared" si="10"/>
        <v>12</v>
      </c>
      <c r="B56" s="18" t="s">
        <v>24</v>
      </c>
      <c r="C56" s="19"/>
      <c r="D56" s="17"/>
      <c r="E56" s="15"/>
      <c r="F56" s="14"/>
      <c r="G56" s="16"/>
      <c r="H56" s="16">
        <f t="shared" si="8"/>
        <v>0</v>
      </c>
      <c r="I56" s="16">
        <v>0</v>
      </c>
      <c r="J56" s="16">
        <v>0</v>
      </c>
      <c r="K56" s="16">
        <f t="shared" si="9"/>
        <v>0</v>
      </c>
      <c r="L56" s="14" t="s">
        <v>15</v>
      </c>
      <c r="M56" s="18" t="s">
        <v>19</v>
      </c>
      <c r="N56" s="19"/>
      <c r="O56" s="14"/>
    </row>
    <row r="57" spans="1:15" ht="21" hidden="1" customHeight="1" x14ac:dyDescent="0.3">
      <c r="A57" s="10">
        <f t="shared" si="10"/>
        <v>13</v>
      </c>
      <c r="B57" s="18" t="s">
        <v>24</v>
      </c>
      <c r="C57" s="19"/>
      <c r="D57" s="17"/>
      <c r="E57" s="15"/>
      <c r="F57" s="14"/>
      <c r="G57" s="16"/>
      <c r="H57" s="16">
        <f t="shared" si="8"/>
        <v>0</v>
      </c>
      <c r="I57" s="16">
        <v>0</v>
      </c>
      <c r="J57" s="16">
        <v>0</v>
      </c>
      <c r="K57" s="16">
        <f t="shared" si="9"/>
        <v>0</v>
      </c>
      <c r="L57" s="14" t="s">
        <v>15</v>
      </c>
      <c r="M57" s="18" t="s">
        <v>19</v>
      </c>
      <c r="N57" s="19"/>
      <c r="O57" s="14"/>
    </row>
    <row r="58" spans="1:15" ht="21" hidden="1" customHeight="1" x14ac:dyDescent="0.3">
      <c r="A58" s="10">
        <f t="shared" si="10"/>
        <v>14</v>
      </c>
      <c r="B58" s="18" t="s">
        <v>24</v>
      </c>
      <c r="C58" s="19"/>
      <c r="D58" s="17"/>
      <c r="E58" s="15"/>
      <c r="F58" s="14"/>
      <c r="G58" s="16"/>
      <c r="H58" s="16">
        <f t="shared" si="8"/>
        <v>0</v>
      </c>
      <c r="I58" s="16">
        <v>0</v>
      </c>
      <c r="J58" s="16">
        <v>0</v>
      </c>
      <c r="K58" s="16">
        <f t="shared" si="9"/>
        <v>0</v>
      </c>
      <c r="L58" s="14" t="s">
        <v>15</v>
      </c>
      <c r="M58" s="18" t="s">
        <v>19</v>
      </c>
      <c r="N58" s="19"/>
      <c r="O58" s="14"/>
    </row>
    <row r="59" spans="1:15" ht="21" hidden="1" customHeight="1" x14ac:dyDescent="0.3">
      <c r="A59" s="10">
        <f t="shared" si="10"/>
        <v>15</v>
      </c>
      <c r="B59" s="18" t="s">
        <v>24</v>
      </c>
      <c r="C59" s="19"/>
      <c r="D59" s="17"/>
      <c r="E59" s="15"/>
      <c r="F59" s="14"/>
      <c r="G59" s="16"/>
      <c r="H59" s="16">
        <f t="shared" si="8"/>
        <v>0</v>
      </c>
      <c r="I59" s="16">
        <v>0</v>
      </c>
      <c r="J59" s="16">
        <v>0</v>
      </c>
      <c r="K59" s="16">
        <f t="shared" si="9"/>
        <v>0</v>
      </c>
      <c r="L59" s="14" t="s">
        <v>15</v>
      </c>
      <c r="M59" s="18" t="s">
        <v>19</v>
      </c>
      <c r="N59" s="19"/>
      <c r="O59" s="14"/>
    </row>
    <row r="60" spans="1:15" ht="21" hidden="1" customHeight="1" x14ac:dyDescent="0.3">
      <c r="A60" s="10">
        <f t="shared" si="10"/>
        <v>16</v>
      </c>
      <c r="B60" s="18"/>
      <c r="C60" s="19"/>
      <c r="D60" s="17"/>
      <c r="E60" s="15"/>
      <c r="F60" s="14"/>
      <c r="G60" s="16"/>
      <c r="H60" s="16">
        <f t="shared" si="8"/>
        <v>0</v>
      </c>
      <c r="I60" s="16"/>
      <c r="J60" s="16">
        <v>0</v>
      </c>
      <c r="K60" s="16">
        <f t="shared" si="9"/>
        <v>0</v>
      </c>
      <c r="L60" s="14" t="s">
        <v>15</v>
      </c>
      <c r="M60" s="18" t="s">
        <v>19</v>
      </c>
      <c r="N60" s="19"/>
      <c r="O60" s="14"/>
    </row>
    <row r="61" spans="1:15" ht="21" hidden="1" customHeight="1" x14ac:dyDescent="0.3">
      <c r="A61" s="10">
        <f t="shared" si="10"/>
        <v>17</v>
      </c>
      <c r="B61" s="18"/>
      <c r="C61" s="19"/>
      <c r="D61" s="17"/>
      <c r="E61" s="15"/>
      <c r="F61" s="14"/>
      <c r="G61" s="16"/>
      <c r="H61" s="16">
        <f t="shared" si="8"/>
        <v>0</v>
      </c>
      <c r="I61" s="16"/>
      <c r="J61" s="16">
        <v>0</v>
      </c>
      <c r="K61" s="16">
        <f t="shared" si="9"/>
        <v>0</v>
      </c>
      <c r="L61" s="14" t="s">
        <v>15</v>
      </c>
      <c r="M61" s="18" t="s">
        <v>19</v>
      </c>
      <c r="N61" s="19"/>
      <c r="O61" s="14"/>
    </row>
    <row r="62" spans="1:15" ht="21" hidden="1" customHeight="1" x14ac:dyDescent="0.3">
      <c r="A62" s="10">
        <f t="shared" si="10"/>
        <v>18</v>
      </c>
      <c r="B62" s="18"/>
      <c r="C62" s="19"/>
      <c r="D62" s="17"/>
      <c r="E62" s="15"/>
      <c r="F62" s="14"/>
      <c r="G62" s="16"/>
      <c r="H62" s="16">
        <f t="shared" si="8"/>
        <v>0</v>
      </c>
      <c r="I62" s="16"/>
      <c r="J62" s="16">
        <v>0</v>
      </c>
      <c r="K62" s="16">
        <f t="shared" si="9"/>
        <v>0</v>
      </c>
      <c r="L62" s="14" t="s">
        <v>15</v>
      </c>
      <c r="M62" s="18" t="s">
        <v>19</v>
      </c>
      <c r="N62" s="19"/>
      <c r="O62" s="14"/>
    </row>
    <row r="63" spans="1:15" ht="21" hidden="1" customHeight="1" x14ac:dyDescent="0.3">
      <c r="A63" s="10">
        <f t="shared" si="10"/>
        <v>19</v>
      </c>
      <c r="B63" s="18"/>
      <c r="C63" s="19"/>
      <c r="D63" s="17"/>
      <c r="E63" s="15"/>
      <c r="F63" s="14"/>
      <c r="G63" s="16"/>
      <c r="H63" s="16">
        <f t="shared" si="8"/>
        <v>0</v>
      </c>
      <c r="I63" s="16"/>
      <c r="J63" s="16">
        <v>0</v>
      </c>
      <c r="K63" s="16">
        <f t="shared" si="9"/>
        <v>0</v>
      </c>
      <c r="L63" s="14" t="s">
        <v>15</v>
      </c>
      <c r="M63" s="18" t="s">
        <v>19</v>
      </c>
      <c r="N63" s="19"/>
      <c r="O63" s="14"/>
    </row>
    <row r="64" spans="1:15" ht="21" customHeight="1" x14ac:dyDescent="0.3">
      <c r="G64" s="21">
        <f>SUMIF(L45:L63,"P",G45:G63)</f>
        <v>0</v>
      </c>
      <c r="H64" s="21">
        <f>SUMIF(L45:L63,"P",H45:H63)</f>
        <v>0</v>
      </c>
      <c r="I64" s="21">
        <f>SUMIF(L45:L63,"P",I45:I63)</f>
        <v>0</v>
      </c>
      <c r="J64" s="21">
        <f>SUMIF(L45:L63,"P",J45:J63)</f>
        <v>0</v>
      </c>
      <c r="K64" s="21">
        <f>SUMIF(L45:L63,"P",K45:K63)</f>
        <v>0</v>
      </c>
    </row>
    <row r="65" spans="1:16" ht="21" customHeight="1" x14ac:dyDescent="0.3">
      <c r="G65" s="10"/>
      <c r="H65" s="10"/>
      <c r="I65" s="10"/>
      <c r="J65" s="10"/>
      <c r="K65" s="10"/>
    </row>
    <row r="66" spans="1:16" ht="21" customHeight="1" x14ac:dyDescent="0.3">
      <c r="B66" s="116" t="s">
        <v>6</v>
      </c>
      <c r="C66" s="116"/>
      <c r="D66" s="11" t="s">
        <v>7</v>
      </c>
      <c r="E66" s="12" t="s">
        <v>8</v>
      </c>
      <c r="F66" s="11" t="s">
        <v>9</v>
      </c>
      <c r="G66" s="13" t="s">
        <v>10</v>
      </c>
      <c r="H66" s="13" t="s">
        <v>11</v>
      </c>
      <c r="I66" s="13" t="s">
        <v>12</v>
      </c>
      <c r="J66" s="13" t="s">
        <v>13</v>
      </c>
      <c r="K66" s="13" t="s">
        <v>14</v>
      </c>
      <c r="L66" s="13" t="s">
        <v>15</v>
      </c>
      <c r="M66" s="116" t="s">
        <v>6</v>
      </c>
      <c r="N66" s="116"/>
      <c r="O66" s="11" t="s">
        <v>16</v>
      </c>
    </row>
    <row r="67" spans="1:16" ht="21" customHeight="1" x14ac:dyDescent="0.3">
      <c r="A67" s="10">
        <f>A66+1</f>
        <v>1</v>
      </c>
      <c r="B67" s="18" t="s">
        <v>24</v>
      </c>
      <c r="C67" s="19"/>
      <c r="D67" s="17" t="s">
        <v>25</v>
      </c>
      <c r="E67" s="15"/>
      <c r="F67" s="14"/>
      <c r="G67" s="16"/>
      <c r="H67" s="16">
        <f t="shared" ref="H67:H90" si="11">G67*16%</f>
        <v>0</v>
      </c>
      <c r="I67" s="16">
        <v>0</v>
      </c>
      <c r="J67" s="16">
        <v>0</v>
      </c>
      <c r="K67" s="16">
        <f t="shared" ref="K67:K90" si="12">G67+H67-I67-J67</f>
        <v>0</v>
      </c>
      <c r="L67" s="14" t="s">
        <v>15</v>
      </c>
      <c r="M67" s="18" t="s">
        <v>19</v>
      </c>
      <c r="N67" s="19"/>
      <c r="O67" s="14"/>
    </row>
    <row r="68" spans="1:16" ht="21" customHeight="1" x14ac:dyDescent="0.3">
      <c r="A68" s="10">
        <f>A67+1</f>
        <v>2</v>
      </c>
      <c r="B68" s="18"/>
      <c r="C68" s="19"/>
      <c r="D68" s="17"/>
      <c r="E68" s="15"/>
      <c r="F68" s="14"/>
      <c r="G68" s="16"/>
      <c r="H68" s="16">
        <f t="shared" si="11"/>
        <v>0</v>
      </c>
      <c r="I68" s="16"/>
      <c r="J68" s="16">
        <v>0</v>
      </c>
      <c r="K68" s="16">
        <f t="shared" si="12"/>
        <v>0</v>
      </c>
      <c r="L68" s="14" t="s">
        <v>15</v>
      </c>
      <c r="M68" s="18" t="s">
        <v>19</v>
      </c>
      <c r="N68" s="19"/>
      <c r="O68" s="14"/>
    </row>
    <row r="69" spans="1:16" ht="21" customHeight="1" x14ac:dyDescent="0.3">
      <c r="A69" s="10">
        <f>A68+1</f>
        <v>3</v>
      </c>
      <c r="B69" s="18"/>
      <c r="C69" s="19"/>
      <c r="D69" s="17"/>
      <c r="E69" s="15"/>
      <c r="F69" s="14"/>
      <c r="G69" s="16"/>
      <c r="H69" s="16">
        <f t="shared" si="11"/>
        <v>0</v>
      </c>
      <c r="I69" s="16"/>
      <c r="J69" s="16">
        <v>0</v>
      </c>
      <c r="K69" s="16">
        <f t="shared" si="12"/>
        <v>0</v>
      </c>
      <c r="L69" s="14" t="s">
        <v>15</v>
      </c>
      <c r="M69" s="18" t="s">
        <v>19</v>
      </c>
      <c r="N69" s="19"/>
      <c r="O69" s="14"/>
    </row>
    <row r="70" spans="1:16" ht="21" hidden="1" customHeight="1" x14ac:dyDescent="0.3">
      <c r="A70" s="10">
        <f>A69+1</f>
        <v>4</v>
      </c>
      <c r="B70" s="18"/>
      <c r="C70" s="19"/>
      <c r="D70" s="17"/>
      <c r="E70" s="15"/>
      <c r="F70" s="14"/>
      <c r="G70" s="16"/>
      <c r="H70" s="16">
        <f t="shared" si="11"/>
        <v>0</v>
      </c>
      <c r="I70" s="16"/>
      <c r="J70" s="16">
        <v>0</v>
      </c>
      <c r="K70" s="16">
        <f t="shared" si="12"/>
        <v>0</v>
      </c>
      <c r="L70" s="14" t="s">
        <v>15</v>
      </c>
      <c r="M70" s="18" t="s">
        <v>19</v>
      </c>
      <c r="N70" s="19"/>
      <c r="O70" s="14"/>
    </row>
    <row r="71" spans="1:16" ht="21" hidden="1" customHeight="1" x14ac:dyDescent="0.3">
      <c r="A71" s="10">
        <f t="shared" ref="A71:A76" si="13">A70+1</f>
        <v>5</v>
      </c>
      <c r="B71" s="18"/>
      <c r="C71" s="19"/>
      <c r="D71" s="17"/>
      <c r="E71" s="15"/>
      <c r="F71" s="14"/>
      <c r="G71" s="16"/>
      <c r="H71" s="16">
        <f t="shared" si="11"/>
        <v>0</v>
      </c>
      <c r="I71" s="16"/>
      <c r="J71" s="16">
        <v>0</v>
      </c>
      <c r="K71" s="16">
        <f t="shared" si="12"/>
        <v>0</v>
      </c>
      <c r="L71" s="14" t="s">
        <v>15</v>
      </c>
      <c r="M71" s="18" t="s">
        <v>19</v>
      </c>
      <c r="N71" s="19"/>
      <c r="O71" s="14"/>
    </row>
    <row r="72" spans="1:16" ht="21" hidden="1" customHeight="1" x14ac:dyDescent="0.3">
      <c r="A72" s="10">
        <f t="shared" si="13"/>
        <v>6</v>
      </c>
      <c r="B72" s="18"/>
      <c r="C72" s="19"/>
      <c r="D72" s="17"/>
      <c r="E72" s="15"/>
      <c r="F72" s="14"/>
      <c r="G72" s="16"/>
      <c r="H72" s="16">
        <f t="shared" si="11"/>
        <v>0</v>
      </c>
      <c r="I72" s="16"/>
      <c r="J72" s="16">
        <v>0</v>
      </c>
      <c r="K72" s="16">
        <f t="shared" si="12"/>
        <v>0</v>
      </c>
      <c r="L72" s="14" t="s">
        <v>15</v>
      </c>
      <c r="M72" s="18" t="s">
        <v>19</v>
      </c>
      <c r="N72" s="19"/>
      <c r="O72" s="14"/>
    </row>
    <row r="73" spans="1:16" ht="21" hidden="1" customHeight="1" x14ac:dyDescent="0.3">
      <c r="A73" s="10">
        <f t="shared" si="13"/>
        <v>7</v>
      </c>
      <c r="B73" s="18"/>
      <c r="C73" s="19"/>
      <c r="D73" s="17"/>
      <c r="E73" s="15"/>
      <c r="F73" s="14"/>
      <c r="G73" s="16"/>
      <c r="H73" s="16">
        <f t="shared" si="11"/>
        <v>0</v>
      </c>
      <c r="I73" s="16"/>
      <c r="J73" s="16">
        <v>0</v>
      </c>
      <c r="K73" s="16">
        <f t="shared" si="12"/>
        <v>0</v>
      </c>
      <c r="L73" s="14" t="s">
        <v>15</v>
      </c>
      <c r="M73" s="18" t="s">
        <v>19</v>
      </c>
      <c r="N73" s="19"/>
      <c r="O73" s="14"/>
    </row>
    <row r="74" spans="1:16" ht="21" hidden="1" customHeight="1" x14ac:dyDescent="0.3">
      <c r="A74" s="10">
        <f t="shared" si="13"/>
        <v>8</v>
      </c>
      <c r="B74" s="18"/>
      <c r="C74" s="19"/>
      <c r="D74" s="17"/>
      <c r="E74" s="15"/>
      <c r="F74" s="14"/>
      <c r="G74" s="16"/>
      <c r="H74" s="16">
        <f t="shared" si="11"/>
        <v>0</v>
      </c>
      <c r="I74" s="16"/>
      <c r="J74" s="16">
        <v>0</v>
      </c>
      <c r="K74" s="16">
        <f t="shared" si="12"/>
        <v>0</v>
      </c>
      <c r="L74" s="14" t="s">
        <v>15</v>
      </c>
      <c r="M74" s="18" t="s">
        <v>19</v>
      </c>
      <c r="N74" s="19"/>
      <c r="O74" s="14"/>
    </row>
    <row r="75" spans="1:16" ht="21" hidden="1" customHeight="1" x14ac:dyDescent="0.3">
      <c r="A75" s="10">
        <f t="shared" si="13"/>
        <v>9</v>
      </c>
      <c r="B75" s="18"/>
      <c r="C75" s="19"/>
      <c r="D75" s="17"/>
      <c r="E75" s="15"/>
      <c r="F75" s="14"/>
      <c r="G75" s="16"/>
      <c r="H75" s="16">
        <f t="shared" si="11"/>
        <v>0</v>
      </c>
      <c r="I75" s="16"/>
      <c r="J75" s="16">
        <v>0</v>
      </c>
      <c r="K75" s="16">
        <f t="shared" si="12"/>
        <v>0</v>
      </c>
      <c r="L75" s="14" t="s">
        <v>15</v>
      </c>
      <c r="M75" s="18" t="s">
        <v>19</v>
      </c>
      <c r="N75" s="19"/>
      <c r="O75" s="14"/>
    </row>
    <row r="76" spans="1:16" ht="21" hidden="1" customHeight="1" x14ac:dyDescent="0.3">
      <c r="A76" s="10">
        <f t="shared" si="13"/>
        <v>10</v>
      </c>
      <c r="B76" s="18"/>
      <c r="C76" s="19"/>
      <c r="D76" s="17"/>
      <c r="E76" s="15"/>
      <c r="F76" s="14"/>
      <c r="G76" s="16"/>
      <c r="H76" s="16">
        <f t="shared" si="11"/>
        <v>0</v>
      </c>
      <c r="I76" s="16"/>
      <c r="J76" s="16">
        <v>0</v>
      </c>
      <c r="K76" s="16">
        <f t="shared" si="12"/>
        <v>0</v>
      </c>
      <c r="L76" s="14" t="s">
        <v>15</v>
      </c>
      <c r="M76" s="18" t="s">
        <v>19</v>
      </c>
      <c r="N76" s="19"/>
      <c r="O76" s="14"/>
    </row>
    <row r="77" spans="1:16" ht="21" customHeight="1" x14ac:dyDescent="0.3">
      <c r="G77" s="21">
        <f>SUMIF(L67:L76,"P",G67:G76)</f>
        <v>0</v>
      </c>
      <c r="H77" s="21">
        <f>SUMIF(L67:L76,"P",H67:H76)</f>
        <v>0</v>
      </c>
      <c r="I77" s="21">
        <f>SUMIF(L67:L76,"P",I67:I76)</f>
        <v>0</v>
      </c>
      <c r="J77" s="21">
        <f>SUMIF(L67:L76,"P",J67:J76)</f>
        <v>0</v>
      </c>
      <c r="K77" s="21">
        <f>SUMIF(L67:L76,"P",K67:K76)</f>
        <v>0</v>
      </c>
    </row>
    <row r="78" spans="1:16" ht="21" customHeight="1" x14ac:dyDescent="0.3">
      <c r="G78" s="10"/>
      <c r="H78" s="10"/>
      <c r="I78" s="10"/>
      <c r="J78" s="10"/>
      <c r="K78" s="10"/>
    </row>
    <row r="79" spans="1:16" ht="21" customHeight="1" x14ac:dyDescent="0.3">
      <c r="B79" s="119" t="s">
        <v>6</v>
      </c>
      <c r="C79" s="119"/>
      <c r="D79" s="91" t="s">
        <v>7</v>
      </c>
      <c r="E79" s="92" t="s">
        <v>8</v>
      </c>
      <c r="F79" s="91" t="s">
        <v>9</v>
      </c>
      <c r="G79" s="93" t="s">
        <v>10</v>
      </c>
      <c r="H79" s="93" t="s">
        <v>11</v>
      </c>
      <c r="I79" s="93" t="s">
        <v>12</v>
      </c>
      <c r="J79" s="93" t="s">
        <v>13</v>
      </c>
      <c r="K79" s="93" t="s">
        <v>14</v>
      </c>
      <c r="L79" s="93" t="s">
        <v>15</v>
      </c>
      <c r="M79" s="119" t="s">
        <v>6</v>
      </c>
      <c r="N79" s="119"/>
      <c r="O79" s="91" t="s">
        <v>16</v>
      </c>
      <c r="P79" s="110" t="s">
        <v>587</v>
      </c>
    </row>
    <row r="80" spans="1:16" ht="21" customHeight="1" x14ac:dyDescent="0.3">
      <c r="A80" s="10">
        <f>A79+1</f>
        <v>1</v>
      </c>
      <c r="B80" s="94"/>
      <c r="C80" s="95"/>
      <c r="D80" s="96"/>
      <c r="E80" s="97"/>
      <c r="F80" s="98"/>
      <c r="G80" s="99"/>
      <c r="H80" s="99">
        <f t="shared" ref="H80:H81" si="14">G80*16%</f>
        <v>0</v>
      </c>
      <c r="I80" s="99">
        <v>0</v>
      </c>
      <c r="J80" s="99">
        <v>0</v>
      </c>
      <c r="K80" s="99">
        <f t="shared" ref="K80:K81" si="15">G80+H80-I80-J80</f>
        <v>0</v>
      </c>
      <c r="L80" s="98" t="s">
        <v>15</v>
      </c>
      <c r="M80" s="94" t="s">
        <v>19</v>
      </c>
      <c r="N80" s="95"/>
      <c r="O80" s="98"/>
      <c r="P80" s="111"/>
    </row>
    <row r="81" spans="1:18" ht="21" customHeight="1" x14ac:dyDescent="0.3">
      <c r="A81" s="10">
        <f>A80+1</f>
        <v>2</v>
      </c>
      <c r="B81" s="94"/>
      <c r="C81" s="95"/>
      <c r="D81" s="96"/>
      <c r="E81" s="97"/>
      <c r="F81" s="98"/>
      <c r="G81" s="99"/>
      <c r="H81" s="99">
        <f t="shared" si="14"/>
        <v>0</v>
      </c>
      <c r="I81" s="99"/>
      <c r="J81" s="99">
        <v>0</v>
      </c>
      <c r="K81" s="99">
        <f t="shared" si="15"/>
        <v>0</v>
      </c>
      <c r="L81" s="98" t="s">
        <v>15</v>
      </c>
      <c r="M81" s="94" t="s">
        <v>19</v>
      </c>
      <c r="N81" s="95"/>
      <c r="O81" s="98"/>
      <c r="P81" s="111"/>
    </row>
    <row r="82" spans="1:18" ht="21" customHeight="1" x14ac:dyDescent="0.3">
      <c r="A82" s="10">
        <f t="shared" ref="A82:A90" si="16">A81+1</f>
        <v>3</v>
      </c>
      <c r="B82" s="94"/>
      <c r="C82" s="95"/>
      <c r="D82" s="96"/>
      <c r="E82" s="97"/>
      <c r="F82" s="98"/>
      <c r="G82" s="99"/>
      <c r="H82" s="99">
        <f t="shared" si="11"/>
        <v>0</v>
      </c>
      <c r="I82" s="99"/>
      <c r="J82" s="99">
        <v>0</v>
      </c>
      <c r="K82" s="99">
        <f t="shared" si="12"/>
        <v>0</v>
      </c>
      <c r="L82" s="98" t="s">
        <v>15</v>
      </c>
      <c r="M82" s="94" t="s">
        <v>19</v>
      </c>
      <c r="N82" s="95"/>
      <c r="O82" s="98"/>
      <c r="P82" s="112"/>
    </row>
    <row r="83" spans="1:18" ht="21" hidden="1" customHeight="1" x14ac:dyDescent="0.3">
      <c r="A83" s="10">
        <f t="shared" si="16"/>
        <v>4</v>
      </c>
      <c r="B83" s="18"/>
      <c r="C83" s="19"/>
      <c r="D83" s="17"/>
      <c r="E83" s="15"/>
      <c r="F83" s="14"/>
      <c r="G83" s="16"/>
      <c r="H83" s="16">
        <f t="shared" si="11"/>
        <v>0</v>
      </c>
      <c r="I83" s="16"/>
      <c r="J83" s="16">
        <v>0</v>
      </c>
      <c r="K83" s="16">
        <f t="shared" si="12"/>
        <v>0</v>
      </c>
      <c r="L83" s="14" t="s">
        <v>15</v>
      </c>
      <c r="M83" s="18" t="s">
        <v>19</v>
      </c>
      <c r="N83" s="19"/>
      <c r="O83" s="14"/>
    </row>
    <row r="84" spans="1:18" ht="21" hidden="1" customHeight="1" x14ac:dyDescent="0.3">
      <c r="A84" s="10">
        <f t="shared" si="16"/>
        <v>5</v>
      </c>
      <c r="B84" s="18"/>
      <c r="C84" s="19"/>
      <c r="D84" s="17"/>
      <c r="E84" s="15"/>
      <c r="F84" s="14"/>
      <c r="G84" s="16"/>
      <c r="H84" s="16">
        <f t="shared" si="11"/>
        <v>0</v>
      </c>
      <c r="I84" s="16"/>
      <c r="J84" s="16">
        <v>0</v>
      </c>
      <c r="K84" s="16">
        <f t="shared" si="12"/>
        <v>0</v>
      </c>
      <c r="L84" s="14" t="s">
        <v>15</v>
      </c>
      <c r="M84" s="18" t="s">
        <v>19</v>
      </c>
      <c r="N84" s="19"/>
      <c r="O84" s="14"/>
    </row>
    <row r="85" spans="1:18" ht="21" hidden="1" customHeight="1" x14ac:dyDescent="0.3">
      <c r="A85" s="10">
        <f t="shared" si="16"/>
        <v>6</v>
      </c>
      <c r="B85" s="18"/>
      <c r="C85" s="19"/>
      <c r="D85" s="17"/>
      <c r="E85" s="15"/>
      <c r="F85" s="14"/>
      <c r="G85" s="16"/>
      <c r="H85" s="16">
        <f t="shared" si="11"/>
        <v>0</v>
      </c>
      <c r="I85" s="16"/>
      <c r="J85" s="16">
        <v>0</v>
      </c>
      <c r="K85" s="16">
        <f t="shared" si="12"/>
        <v>0</v>
      </c>
      <c r="L85" s="14" t="s">
        <v>15</v>
      </c>
      <c r="M85" s="18" t="s">
        <v>19</v>
      </c>
      <c r="N85" s="19"/>
      <c r="O85" s="14"/>
    </row>
    <row r="86" spans="1:18" ht="21" hidden="1" customHeight="1" x14ac:dyDescent="0.3">
      <c r="A86" s="10">
        <f t="shared" si="16"/>
        <v>7</v>
      </c>
      <c r="B86" s="18"/>
      <c r="C86" s="19"/>
      <c r="D86" s="17"/>
      <c r="E86" s="15"/>
      <c r="F86" s="14"/>
      <c r="G86" s="16"/>
      <c r="H86" s="16">
        <f t="shared" si="11"/>
        <v>0</v>
      </c>
      <c r="I86" s="16"/>
      <c r="J86" s="16">
        <v>0</v>
      </c>
      <c r="K86" s="16">
        <f t="shared" si="12"/>
        <v>0</v>
      </c>
      <c r="L86" s="14" t="s">
        <v>15</v>
      </c>
      <c r="M86" s="18" t="s">
        <v>19</v>
      </c>
      <c r="N86" s="19"/>
      <c r="O86" s="14"/>
    </row>
    <row r="87" spans="1:18" ht="21" hidden="1" customHeight="1" x14ac:dyDescent="0.3">
      <c r="A87" s="10">
        <f t="shared" si="16"/>
        <v>8</v>
      </c>
      <c r="B87" s="18"/>
      <c r="C87" s="19"/>
      <c r="D87" s="17"/>
      <c r="E87" s="15"/>
      <c r="F87" s="14"/>
      <c r="G87" s="16"/>
      <c r="H87" s="16">
        <f t="shared" si="11"/>
        <v>0</v>
      </c>
      <c r="I87" s="16"/>
      <c r="J87" s="16">
        <v>0</v>
      </c>
      <c r="K87" s="16">
        <f t="shared" si="12"/>
        <v>0</v>
      </c>
      <c r="L87" s="14" t="s">
        <v>15</v>
      </c>
      <c r="M87" s="18" t="s">
        <v>19</v>
      </c>
      <c r="N87" s="19"/>
      <c r="O87" s="14"/>
    </row>
    <row r="88" spans="1:18" ht="21" hidden="1" customHeight="1" x14ac:dyDescent="0.3">
      <c r="A88" s="10">
        <f t="shared" si="16"/>
        <v>9</v>
      </c>
      <c r="B88" s="18"/>
      <c r="C88" s="19"/>
      <c r="D88" s="17"/>
      <c r="E88" s="15"/>
      <c r="F88" s="14"/>
      <c r="G88" s="16"/>
      <c r="H88" s="16">
        <f t="shared" si="11"/>
        <v>0</v>
      </c>
      <c r="I88" s="16"/>
      <c r="J88" s="16">
        <v>0</v>
      </c>
      <c r="K88" s="16">
        <f t="shared" si="12"/>
        <v>0</v>
      </c>
      <c r="L88" s="14" t="s">
        <v>15</v>
      </c>
      <c r="M88" s="18" t="s">
        <v>19</v>
      </c>
      <c r="N88" s="19"/>
      <c r="O88" s="14"/>
    </row>
    <row r="89" spans="1:18" ht="21" hidden="1" customHeight="1" x14ac:dyDescent="0.3">
      <c r="A89" s="10">
        <f t="shared" si="16"/>
        <v>10</v>
      </c>
      <c r="B89" s="18"/>
      <c r="C89" s="19"/>
      <c r="D89" s="17"/>
      <c r="E89" s="15"/>
      <c r="F89" s="14"/>
      <c r="G89" s="16"/>
      <c r="H89" s="16">
        <f t="shared" si="11"/>
        <v>0</v>
      </c>
      <c r="I89" s="16"/>
      <c r="J89" s="16">
        <v>0</v>
      </c>
      <c r="K89" s="16">
        <f t="shared" si="12"/>
        <v>0</v>
      </c>
      <c r="L89" s="14" t="s">
        <v>15</v>
      </c>
      <c r="M89" s="18" t="s">
        <v>19</v>
      </c>
      <c r="N89" s="19"/>
      <c r="O89" s="14"/>
    </row>
    <row r="90" spans="1:18" ht="21" hidden="1" customHeight="1" x14ac:dyDescent="0.3">
      <c r="A90" s="10">
        <f t="shared" si="16"/>
        <v>11</v>
      </c>
      <c r="B90" s="18"/>
      <c r="C90" s="19"/>
      <c r="D90" s="17"/>
      <c r="E90" s="15"/>
      <c r="F90" s="14"/>
      <c r="G90" s="16"/>
      <c r="H90" s="16">
        <f t="shared" si="11"/>
        <v>0</v>
      </c>
      <c r="I90" s="16"/>
      <c r="J90" s="16">
        <v>0</v>
      </c>
      <c r="K90" s="16">
        <f t="shared" si="12"/>
        <v>0</v>
      </c>
      <c r="L90" s="14" t="s">
        <v>15</v>
      </c>
      <c r="M90" s="18" t="s">
        <v>19</v>
      </c>
      <c r="N90" s="19"/>
      <c r="O90" s="14"/>
    </row>
    <row r="91" spans="1:18" ht="21" customHeight="1" x14ac:dyDescent="0.3">
      <c r="G91" s="21">
        <f>SUMIF(L80:L90,"P",G80:G90)</f>
        <v>0</v>
      </c>
      <c r="H91" s="21">
        <f>SUMIF(L80:L90,"P",H80:H90)</f>
        <v>0</v>
      </c>
      <c r="I91" s="21">
        <f>SUMIF(L80:L90,"P",I80:I90)</f>
        <v>0</v>
      </c>
      <c r="J91" s="21">
        <f>SUMIF(L80:L90,"P",J80:J90)</f>
        <v>0</v>
      </c>
      <c r="K91" s="21">
        <f>SUMIF(L80:L90,"P",K80:K90)</f>
        <v>0</v>
      </c>
    </row>
    <row r="92" spans="1:18" ht="21" customHeight="1" thickBot="1" x14ac:dyDescent="0.35">
      <c r="B92" s="10" t="s">
        <v>588</v>
      </c>
      <c r="N92" s="102"/>
      <c r="O92" s="102"/>
      <c r="P92" s="102"/>
      <c r="Q92" s="113" t="s">
        <v>590</v>
      </c>
      <c r="R92" s="113"/>
    </row>
    <row r="93" spans="1:18" ht="21" customHeight="1" x14ac:dyDescent="0.3">
      <c r="B93" s="120" t="s">
        <v>6</v>
      </c>
      <c r="C93" s="121"/>
      <c r="D93" s="11" t="s">
        <v>7</v>
      </c>
      <c r="E93" s="12" t="s">
        <v>8</v>
      </c>
      <c r="F93" s="23" t="s">
        <v>9</v>
      </c>
      <c r="G93" s="24" t="s">
        <v>10</v>
      </c>
      <c r="H93" s="25" t="s">
        <v>11</v>
      </c>
      <c r="I93" s="25" t="s">
        <v>12</v>
      </c>
      <c r="J93" s="25" t="s">
        <v>13</v>
      </c>
      <c r="K93" s="26" t="s">
        <v>14</v>
      </c>
      <c r="L93" s="13" t="s">
        <v>15</v>
      </c>
      <c r="N93" s="102"/>
      <c r="O93" s="103" t="s">
        <v>10</v>
      </c>
      <c r="P93" s="104" t="s">
        <v>27</v>
      </c>
      <c r="Q93" s="113"/>
      <c r="R93" s="113"/>
    </row>
    <row r="94" spans="1:18" ht="21" customHeight="1" x14ac:dyDescent="0.3">
      <c r="A94" s="10">
        <v>1</v>
      </c>
      <c r="B94" s="118"/>
      <c r="C94" s="118"/>
      <c r="D94" s="14" t="s">
        <v>28</v>
      </c>
      <c r="E94" s="15">
        <v>46142</v>
      </c>
      <c r="F94" s="27" t="s">
        <v>29</v>
      </c>
      <c r="G94" s="100">
        <f t="shared" ref="G94:G99" si="17">P94</f>
        <v>1060</v>
      </c>
      <c r="H94" s="87">
        <v>0</v>
      </c>
      <c r="I94" s="16">
        <v>50</v>
      </c>
      <c r="J94" s="16">
        <v>0</v>
      </c>
      <c r="K94" s="101">
        <v>10600</v>
      </c>
      <c r="L94" s="17" t="s">
        <v>15</v>
      </c>
      <c r="M94" s="84" t="s">
        <v>583</v>
      </c>
      <c r="N94" s="104" t="s">
        <v>28</v>
      </c>
      <c r="O94" s="105">
        <v>1000</v>
      </c>
      <c r="P94" s="103">
        <f>O94*1.06</f>
        <v>1060</v>
      </c>
      <c r="Q94" s="113"/>
      <c r="R94" s="113"/>
    </row>
    <row r="95" spans="1:18" ht="21" customHeight="1" x14ac:dyDescent="0.3">
      <c r="A95" s="10">
        <f>A94+1</f>
        <v>2</v>
      </c>
      <c r="B95" s="118"/>
      <c r="C95" s="118"/>
      <c r="D95" s="14" t="s">
        <v>30</v>
      </c>
      <c r="E95" s="15">
        <f>E94</f>
        <v>46142</v>
      </c>
      <c r="F95" s="27" t="s">
        <v>29</v>
      </c>
      <c r="G95" s="28">
        <v>0</v>
      </c>
      <c r="H95" s="16">
        <v>0</v>
      </c>
      <c r="I95" s="16">
        <v>0</v>
      </c>
      <c r="J95" s="16">
        <v>0</v>
      </c>
      <c r="K95" s="29">
        <f>G95+H95-I95-J95</f>
        <v>0</v>
      </c>
      <c r="L95" s="17" t="s">
        <v>15</v>
      </c>
      <c r="M95" s="84" t="s">
        <v>584</v>
      </c>
      <c r="N95" s="104" t="s">
        <v>30</v>
      </c>
      <c r="O95" s="105">
        <v>1000</v>
      </c>
      <c r="P95" s="103">
        <f t="shared" ref="P95:P98" si="18">O95*1.06</f>
        <v>1060</v>
      </c>
      <c r="Q95" s="113"/>
      <c r="R95" s="113"/>
    </row>
    <row r="96" spans="1:18" ht="21" customHeight="1" x14ac:dyDescent="0.3">
      <c r="A96" s="10">
        <f t="shared" ref="A96:A101" si="19">A95+1</f>
        <v>3</v>
      </c>
      <c r="B96" s="118"/>
      <c r="C96" s="118"/>
      <c r="D96" s="14" t="s">
        <v>31</v>
      </c>
      <c r="E96" s="15">
        <f t="shared" ref="E96:E101" si="20">E95</f>
        <v>46142</v>
      </c>
      <c r="F96" s="27" t="s">
        <v>29</v>
      </c>
      <c r="G96" s="28">
        <v>0</v>
      </c>
      <c r="H96" s="16">
        <v>0</v>
      </c>
      <c r="I96" s="16">
        <v>0</v>
      </c>
      <c r="J96" s="16">
        <v>0</v>
      </c>
      <c r="K96" s="29">
        <f>G96+H96-I96-J96</f>
        <v>0</v>
      </c>
      <c r="L96" s="17" t="s">
        <v>15</v>
      </c>
      <c r="N96" s="104" t="s">
        <v>31</v>
      </c>
      <c r="O96" s="105">
        <v>1000</v>
      </c>
      <c r="P96" s="103">
        <f>O96*1.06</f>
        <v>1060</v>
      </c>
      <c r="Q96" s="113"/>
      <c r="R96" s="113"/>
    </row>
    <row r="97" spans="1:18" ht="21" customHeight="1" x14ac:dyDescent="0.3">
      <c r="A97" s="10">
        <f t="shared" si="19"/>
        <v>4</v>
      </c>
      <c r="B97" s="118"/>
      <c r="C97" s="118"/>
      <c r="D97" s="14" t="s">
        <v>32</v>
      </c>
      <c r="E97" s="15">
        <f t="shared" si="20"/>
        <v>46142</v>
      </c>
      <c r="F97" s="27" t="s">
        <v>29</v>
      </c>
      <c r="G97" s="28">
        <v>0</v>
      </c>
      <c r="H97" s="16">
        <v>0</v>
      </c>
      <c r="I97" s="16">
        <v>0</v>
      </c>
      <c r="J97" s="16">
        <v>0</v>
      </c>
      <c r="K97" s="29">
        <f t="shared" ref="K97:K101" si="21">G97+H97-I97-J97</f>
        <v>0</v>
      </c>
      <c r="L97" s="17" t="s">
        <v>15</v>
      </c>
      <c r="N97" s="104" t="s">
        <v>32</v>
      </c>
      <c r="O97" s="105">
        <v>1000</v>
      </c>
      <c r="P97" s="105">
        <f t="shared" si="18"/>
        <v>1060</v>
      </c>
      <c r="Q97" s="113"/>
      <c r="R97" s="113"/>
    </row>
    <row r="98" spans="1:18" ht="21" customHeight="1" x14ac:dyDescent="0.3">
      <c r="A98" s="10">
        <f t="shared" si="19"/>
        <v>5</v>
      </c>
      <c r="B98" s="118"/>
      <c r="C98" s="118"/>
      <c r="D98" s="14"/>
      <c r="E98" s="15">
        <f t="shared" si="20"/>
        <v>46142</v>
      </c>
      <c r="F98" s="27"/>
      <c r="G98" s="28">
        <f t="shared" si="17"/>
        <v>0</v>
      </c>
      <c r="H98" s="16">
        <v>0</v>
      </c>
      <c r="I98" s="16">
        <v>0</v>
      </c>
      <c r="J98" s="16">
        <v>0</v>
      </c>
      <c r="K98" s="29">
        <f t="shared" si="21"/>
        <v>0</v>
      </c>
      <c r="L98" s="17" t="s">
        <v>15</v>
      </c>
      <c r="N98" s="104"/>
      <c r="O98" s="105"/>
      <c r="P98" s="105">
        <f t="shared" si="18"/>
        <v>0</v>
      </c>
      <c r="Q98" s="113"/>
      <c r="R98" s="113"/>
    </row>
    <row r="99" spans="1:18" ht="21" customHeight="1" x14ac:dyDescent="0.3">
      <c r="A99" s="10">
        <f t="shared" si="19"/>
        <v>6</v>
      </c>
      <c r="B99" s="118"/>
      <c r="C99" s="118"/>
      <c r="D99" s="14"/>
      <c r="E99" s="15">
        <f t="shared" si="20"/>
        <v>46142</v>
      </c>
      <c r="F99" s="27"/>
      <c r="G99" s="28">
        <f t="shared" si="17"/>
        <v>0</v>
      </c>
      <c r="H99" s="16">
        <v>0</v>
      </c>
      <c r="I99" s="16">
        <v>0</v>
      </c>
      <c r="J99" s="16">
        <v>0</v>
      </c>
      <c r="K99" s="29">
        <f t="shared" si="21"/>
        <v>0</v>
      </c>
      <c r="L99" s="17" t="s">
        <v>15</v>
      </c>
      <c r="N99" s="104"/>
      <c r="O99" s="105"/>
      <c r="P99" s="105">
        <f>O99*1.06</f>
        <v>0</v>
      </c>
      <c r="Q99" s="113"/>
      <c r="R99" s="113"/>
    </row>
    <row r="100" spans="1:18" ht="21" customHeight="1" x14ac:dyDescent="0.3">
      <c r="A100" s="10">
        <f t="shared" si="19"/>
        <v>7</v>
      </c>
      <c r="B100" s="118"/>
      <c r="C100" s="118"/>
      <c r="D100" s="14"/>
      <c r="E100" s="15">
        <f t="shared" si="20"/>
        <v>46142</v>
      </c>
      <c r="F100" s="27"/>
      <c r="G100" s="28">
        <f>P100</f>
        <v>0</v>
      </c>
      <c r="H100" s="16">
        <v>0</v>
      </c>
      <c r="I100" s="16">
        <v>0</v>
      </c>
      <c r="J100" s="16">
        <v>0</v>
      </c>
      <c r="K100" s="29">
        <f t="shared" si="21"/>
        <v>0</v>
      </c>
      <c r="L100" s="31" t="s">
        <v>33</v>
      </c>
      <c r="N100" s="102"/>
      <c r="O100" s="105">
        <v>0</v>
      </c>
      <c r="P100" s="105">
        <f t="shared" ref="P100:P101" si="22">O100*1.06</f>
        <v>0</v>
      </c>
      <c r="Q100" s="113"/>
      <c r="R100" s="113"/>
    </row>
    <row r="101" spans="1:18" ht="21" customHeight="1" x14ac:dyDescent="0.3">
      <c r="A101" s="10">
        <f t="shared" si="19"/>
        <v>8</v>
      </c>
      <c r="B101" s="118"/>
      <c r="C101" s="118"/>
      <c r="D101" s="14"/>
      <c r="E101" s="15">
        <f t="shared" si="20"/>
        <v>46142</v>
      </c>
      <c r="F101" s="27"/>
      <c r="G101" s="28">
        <f t="shared" ref="G101" si="23">P101</f>
        <v>0</v>
      </c>
      <c r="H101" s="16">
        <v>0</v>
      </c>
      <c r="I101" s="16">
        <v>0</v>
      </c>
      <c r="J101" s="16">
        <v>0</v>
      </c>
      <c r="K101" s="29">
        <f t="shared" si="21"/>
        <v>0</v>
      </c>
      <c r="L101" s="31" t="s">
        <v>33</v>
      </c>
      <c r="N101" s="102"/>
      <c r="O101" s="105">
        <v>0</v>
      </c>
      <c r="P101" s="105">
        <f t="shared" si="22"/>
        <v>0</v>
      </c>
      <c r="Q101" s="113"/>
      <c r="R101" s="113"/>
    </row>
    <row r="102" spans="1:18" ht="21" customHeight="1" x14ac:dyDescent="0.3">
      <c r="G102" s="21">
        <f>SUMIF(L93:L100,"P",G93:G100)</f>
        <v>1060</v>
      </c>
      <c r="H102" s="21">
        <f>SUMIF(L93:L100,"P",H93:H100)</f>
        <v>0</v>
      </c>
      <c r="I102" s="21">
        <f>SUMIF(L93:L100,"P",I93:I100)</f>
        <v>50</v>
      </c>
      <c r="J102" s="21">
        <f>SUMIF(L93:L100,"P",J93:J100)</f>
        <v>0</v>
      </c>
      <c r="K102" s="21">
        <f>SUMIF(L93:L100,"P",K93:K100)</f>
        <v>10600</v>
      </c>
      <c r="N102" s="102"/>
      <c r="O102" s="109"/>
      <c r="P102" s="109"/>
      <c r="Q102" s="113"/>
      <c r="R102" s="113"/>
    </row>
    <row r="103" spans="1:18" ht="21" customHeight="1" thickBot="1" x14ac:dyDescent="0.35">
      <c r="B103" s="10" t="s">
        <v>589</v>
      </c>
      <c r="E103" s="10"/>
      <c r="G103" s="10"/>
      <c r="H103" s="10"/>
      <c r="I103" s="10"/>
      <c r="J103" s="10"/>
      <c r="K103" s="10"/>
      <c r="N103" s="102"/>
      <c r="O103" s="106">
        <f>SUM(O94:O101)</f>
        <v>4000</v>
      </c>
      <c r="P103" s="106">
        <f>SUM(P94:P101)</f>
        <v>4240</v>
      </c>
      <c r="Q103" s="113"/>
      <c r="R103" s="113"/>
    </row>
    <row r="104" spans="1:18" ht="21" customHeight="1" x14ac:dyDescent="0.3">
      <c r="B104" s="11" t="s">
        <v>6</v>
      </c>
      <c r="D104" s="11" t="s">
        <v>7</v>
      </c>
      <c r="E104" s="12" t="s">
        <v>8</v>
      </c>
      <c r="F104" s="23" t="s">
        <v>9</v>
      </c>
      <c r="G104" s="24" t="s">
        <v>10</v>
      </c>
      <c r="H104" s="25" t="s">
        <v>11</v>
      </c>
      <c r="I104" s="25" t="s">
        <v>12</v>
      </c>
      <c r="J104" s="25" t="s">
        <v>13</v>
      </c>
      <c r="K104" s="26" t="s">
        <v>14</v>
      </c>
      <c r="L104" s="13" t="s">
        <v>15</v>
      </c>
      <c r="N104" s="102"/>
      <c r="O104" s="107">
        <f>O95+O96</f>
        <v>2000</v>
      </c>
      <c r="P104" s="108">
        <f>P103-O103</f>
        <v>240</v>
      </c>
      <c r="Q104" s="113"/>
      <c r="R104" s="113"/>
    </row>
    <row r="105" spans="1:18" ht="21" customHeight="1" x14ac:dyDescent="0.3">
      <c r="A105" s="14">
        <v>1</v>
      </c>
      <c r="B105" s="32"/>
      <c r="C105" s="14"/>
      <c r="D105" s="14"/>
      <c r="E105" s="15"/>
      <c r="F105" s="14" t="s">
        <v>34</v>
      </c>
      <c r="G105" s="16">
        <v>670</v>
      </c>
      <c r="H105" s="87">
        <v>0</v>
      </c>
      <c r="I105" s="16">
        <v>0</v>
      </c>
      <c r="J105" s="16">
        <v>0</v>
      </c>
      <c r="K105" s="87">
        <f>G105</f>
        <v>670</v>
      </c>
      <c r="L105" s="17" t="s">
        <v>15</v>
      </c>
      <c r="N105" s="102"/>
      <c r="O105" s="107">
        <f>O94+O97</f>
        <v>2000</v>
      </c>
      <c r="P105" s="107" t="s">
        <v>28</v>
      </c>
      <c r="Q105" s="113"/>
      <c r="R105" s="113"/>
    </row>
    <row r="106" spans="1:18" ht="21" customHeight="1" x14ac:dyDescent="0.3">
      <c r="A106" s="14">
        <v>2</v>
      </c>
      <c r="B106" s="32"/>
      <c r="C106" s="14"/>
      <c r="D106" s="14"/>
      <c r="E106" s="15"/>
      <c r="F106" s="14" t="s">
        <v>35</v>
      </c>
      <c r="G106" s="16">
        <v>1175</v>
      </c>
      <c r="H106" s="16">
        <f t="shared" ref="H106:H109" si="24">G106*16%</f>
        <v>188</v>
      </c>
      <c r="I106" s="16">
        <v>0</v>
      </c>
      <c r="J106" s="16">
        <v>0</v>
      </c>
      <c r="K106" s="16">
        <f t="shared" ref="K106:K109" si="25">G106+H106-I106-J106</f>
        <v>1363</v>
      </c>
      <c r="L106" s="17" t="s">
        <v>33</v>
      </c>
      <c r="N106" s="102"/>
      <c r="O106" s="107">
        <f>O98+O99+O101</f>
        <v>0</v>
      </c>
      <c r="P106" s="107" t="s">
        <v>32</v>
      </c>
      <c r="Q106" s="113"/>
      <c r="R106" s="113"/>
    </row>
    <row r="107" spans="1:18" ht="21" customHeight="1" x14ac:dyDescent="0.3">
      <c r="A107" s="14">
        <v>3</v>
      </c>
      <c r="B107" s="32"/>
      <c r="C107" s="14"/>
      <c r="D107" s="14"/>
      <c r="E107" s="15"/>
      <c r="F107" s="14" t="s">
        <v>36</v>
      </c>
      <c r="G107" s="16">
        <v>2190.21</v>
      </c>
      <c r="H107" s="16">
        <f t="shared" si="24"/>
        <v>350.43360000000001</v>
      </c>
      <c r="I107" s="16">
        <v>233.62</v>
      </c>
      <c r="J107" s="16">
        <v>219.02</v>
      </c>
      <c r="K107" s="16">
        <f t="shared" si="25"/>
        <v>2088.0036</v>
      </c>
      <c r="L107" s="17" t="s">
        <v>33</v>
      </c>
      <c r="P107" s="22"/>
    </row>
    <row r="108" spans="1:18" ht="21" customHeight="1" x14ac:dyDescent="0.3">
      <c r="A108" s="14">
        <v>4</v>
      </c>
      <c r="B108" s="32"/>
      <c r="C108" s="14"/>
      <c r="D108" s="14"/>
      <c r="E108" s="15"/>
      <c r="F108" s="14"/>
      <c r="G108" s="16"/>
      <c r="H108" s="16">
        <f t="shared" si="24"/>
        <v>0</v>
      </c>
      <c r="I108" s="16"/>
      <c r="J108" s="16"/>
      <c r="K108" s="16">
        <f t="shared" si="25"/>
        <v>0</v>
      </c>
      <c r="L108" s="17" t="s">
        <v>15</v>
      </c>
      <c r="O108" s="22"/>
      <c r="P108" s="22"/>
    </row>
    <row r="109" spans="1:18" ht="21" customHeight="1" x14ac:dyDescent="0.3">
      <c r="A109" s="14">
        <v>6</v>
      </c>
      <c r="B109" s="32"/>
      <c r="C109" s="14"/>
      <c r="D109" s="14"/>
      <c r="E109" s="15"/>
      <c r="F109" s="14"/>
      <c r="G109" s="16"/>
      <c r="H109" s="16">
        <f t="shared" si="24"/>
        <v>0</v>
      </c>
      <c r="I109" s="16"/>
      <c r="J109" s="16"/>
      <c r="K109" s="16">
        <f t="shared" si="25"/>
        <v>0</v>
      </c>
      <c r="L109" s="17" t="s">
        <v>15</v>
      </c>
      <c r="O109" s="22"/>
      <c r="P109" s="22"/>
    </row>
    <row r="110" spans="1:18" ht="21" customHeight="1" thickBot="1" x14ac:dyDescent="0.35">
      <c r="E110" s="10"/>
      <c r="G110" s="21">
        <f>SUMIF(L105:L109,"P",G105:G109)</f>
        <v>670</v>
      </c>
      <c r="H110" s="21">
        <f>SUMIF(L105:L109,"P",H105:H109)</f>
        <v>0</v>
      </c>
      <c r="I110" s="21">
        <f>SUMIF(L105:L109,"P",I105:I109)</f>
        <v>0</v>
      </c>
      <c r="J110" s="21">
        <f>SUMIF(L105:L109,"P",J105:J109)</f>
        <v>0</v>
      </c>
      <c r="K110" s="21">
        <f>SUMIF(L105:L109,"P",K105:K109)</f>
        <v>670</v>
      </c>
      <c r="O110" s="22"/>
      <c r="P110" s="22"/>
    </row>
    <row r="111" spans="1:18" ht="21" customHeight="1" x14ac:dyDescent="0.3">
      <c r="B111" s="11" t="s">
        <v>6</v>
      </c>
      <c r="D111" s="11" t="s">
        <v>7</v>
      </c>
      <c r="E111" s="12" t="s">
        <v>37</v>
      </c>
      <c r="F111" s="23" t="s">
        <v>9</v>
      </c>
      <c r="G111" s="24"/>
      <c r="H111" s="25"/>
      <c r="I111" s="25"/>
      <c r="J111" s="25"/>
      <c r="K111" s="26" t="s">
        <v>14</v>
      </c>
      <c r="L111" s="13" t="s">
        <v>15</v>
      </c>
      <c r="O111" s="22"/>
    </row>
    <row r="112" spans="1:18" ht="21" customHeight="1" x14ac:dyDescent="0.3">
      <c r="A112" s="14">
        <v>1</v>
      </c>
      <c r="B112" s="33" t="s">
        <v>38</v>
      </c>
      <c r="C112" s="14"/>
      <c r="D112" s="33" t="s">
        <v>38</v>
      </c>
      <c r="E112" s="34" t="s">
        <v>39</v>
      </c>
      <c r="F112" s="14" t="s">
        <v>40</v>
      </c>
      <c r="G112" s="29"/>
      <c r="H112" s="16"/>
      <c r="I112" s="16"/>
      <c r="J112" s="16"/>
      <c r="K112" s="29">
        <v>695.27</v>
      </c>
      <c r="L112" s="17"/>
    </row>
    <row r="113" spans="1:16" ht="21" customHeight="1" x14ac:dyDescent="0.3">
      <c r="A113" s="14">
        <v>2</v>
      </c>
      <c r="B113" s="33" t="s">
        <v>38</v>
      </c>
      <c r="C113" s="14"/>
      <c r="D113" s="33" t="s">
        <v>38</v>
      </c>
      <c r="E113" s="15" t="s">
        <v>41</v>
      </c>
      <c r="F113" s="14" t="s">
        <v>40</v>
      </c>
      <c r="G113" s="16"/>
      <c r="H113" s="16"/>
      <c r="I113" s="16"/>
      <c r="J113" s="16"/>
      <c r="K113" s="29">
        <v>606.52</v>
      </c>
      <c r="L113" s="17"/>
    </row>
    <row r="114" spans="1:16" ht="21" customHeight="1" x14ac:dyDescent="0.3">
      <c r="A114" s="14">
        <v>3</v>
      </c>
      <c r="B114" s="33" t="s">
        <v>38</v>
      </c>
      <c r="C114" s="14"/>
      <c r="D114" s="33" t="s">
        <v>38</v>
      </c>
      <c r="E114" s="15" t="s">
        <v>42</v>
      </c>
      <c r="F114" s="14" t="s">
        <v>40</v>
      </c>
      <c r="G114" s="16"/>
      <c r="H114" s="16"/>
      <c r="I114" s="16"/>
      <c r="J114" s="16"/>
      <c r="K114" s="29">
        <v>872.27</v>
      </c>
      <c r="L114" s="17"/>
    </row>
    <row r="115" spans="1:16" ht="21" customHeight="1" x14ac:dyDescent="0.3">
      <c r="A115" s="14">
        <v>4</v>
      </c>
      <c r="B115" s="33" t="s">
        <v>38</v>
      </c>
      <c r="C115" s="14"/>
      <c r="D115" s="33" t="s">
        <v>38</v>
      </c>
      <c r="E115" s="15" t="s">
        <v>43</v>
      </c>
      <c r="F115" s="14" t="s">
        <v>44</v>
      </c>
      <c r="G115" s="16"/>
      <c r="H115" s="16"/>
      <c r="I115" s="16"/>
      <c r="J115" s="16"/>
      <c r="K115" s="29">
        <v>7719.5</v>
      </c>
      <c r="L115" s="31"/>
    </row>
    <row r="116" spans="1:16" ht="21" customHeight="1" x14ac:dyDescent="0.3">
      <c r="A116" s="14">
        <v>6</v>
      </c>
      <c r="B116" s="33" t="s">
        <v>38</v>
      </c>
      <c r="C116" s="14"/>
      <c r="D116" s="33" t="s">
        <v>38</v>
      </c>
      <c r="E116" s="15" t="s">
        <v>45</v>
      </c>
      <c r="F116" s="14" t="s">
        <v>44</v>
      </c>
      <c r="G116" s="16"/>
      <c r="H116" s="16"/>
      <c r="I116" s="16"/>
      <c r="J116" s="16"/>
      <c r="K116" s="29">
        <v>11753.62</v>
      </c>
      <c r="L116" s="31"/>
    </row>
    <row r="117" spans="1:16" ht="21" customHeight="1" x14ac:dyDescent="0.3">
      <c r="A117" s="14">
        <v>7</v>
      </c>
      <c r="B117" s="33" t="s">
        <v>38</v>
      </c>
      <c r="C117" s="14"/>
      <c r="D117" s="33" t="s">
        <v>38</v>
      </c>
      <c r="E117" s="15" t="s">
        <v>46</v>
      </c>
      <c r="F117" s="14" t="s">
        <v>44</v>
      </c>
      <c r="G117" s="16"/>
      <c r="H117" s="16"/>
      <c r="I117" s="16"/>
      <c r="J117" s="16"/>
      <c r="K117" s="29">
        <v>233.62</v>
      </c>
      <c r="L117" s="17"/>
    </row>
    <row r="118" spans="1:16" ht="21" customHeight="1" x14ac:dyDescent="0.3">
      <c r="A118" s="14">
        <v>8</v>
      </c>
      <c r="B118" s="33" t="s">
        <v>38</v>
      </c>
      <c r="C118" s="14"/>
      <c r="D118" s="33" t="s">
        <v>38</v>
      </c>
      <c r="E118" s="15" t="s">
        <v>47</v>
      </c>
      <c r="F118" s="14" t="s">
        <v>44</v>
      </c>
      <c r="G118" s="16"/>
      <c r="H118" s="16"/>
      <c r="I118" s="16"/>
      <c r="J118" s="16"/>
      <c r="K118" s="29">
        <v>233.62</v>
      </c>
      <c r="L118" s="17"/>
    </row>
    <row r="119" spans="1:16" ht="21" customHeight="1" x14ac:dyDescent="0.3">
      <c r="A119" s="14">
        <v>9</v>
      </c>
      <c r="B119" s="33" t="s">
        <v>38</v>
      </c>
      <c r="C119" s="14"/>
      <c r="D119" s="33" t="s">
        <v>38</v>
      </c>
      <c r="E119" s="15" t="s">
        <v>48</v>
      </c>
      <c r="F119" s="14" t="s">
        <v>44</v>
      </c>
      <c r="G119" s="16"/>
      <c r="H119" s="16"/>
      <c r="I119" s="16"/>
      <c r="J119" s="16"/>
      <c r="K119" s="29">
        <v>3888.1</v>
      </c>
      <c r="L119" s="17"/>
    </row>
    <row r="120" spans="1:16" ht="21" customHeight="1" x14ac:dyDescent="0.3">
      <c r="A120" s="14">
        <v>10</v>
      </c>
      <c r="B120" s="33" t="s">
        <v>38</v>
      </c>
      <c r="C120" s="14"/>
      <c r="D120" s="33" t="s">
        <v>38</v>
      </c>
      <c r="E120" s="15" t="s">
        <v>39</v>
      </c>
      <c r="F120" s="14" t="s">
        <v>44</v>
      </c>
      <c r="G120" s="16"/>
      <c r="H120" s="16"/>
      <c r="I120" s="16"/>
      <c r="J120" s="16"/>
      <c r="K120" s="29">
        <v>24813.62</v>
      </c>
      <c r="L120" s="31"/>
    </row>
    <row r="121" spans="1:16" ht="21" customHeight="1" x14ac:dyDescent="0.3">
      <c r="A121" s="14">
        <v>11</v>
      </c>
      <c r="B121" s="33" t="s">
        <v>38</v>
      </c>
      <c r="C121" s="14"/>
      <c r="D121" s="33" t="s">
        <v>38</v>
      </c>
      <c r="E121" s="15" t="s">
        <v>41</v>
      </c>
      <c r="F121" s="14" t="s">
        <v>44</v>
      </c>
      <c r="G121" s="16"/>
      <c r="H121" s="16"/>
      <c r="I121" s="16"/>
      <c r="J121" s="16"/>
      <c r="K121" s="29">
        <v>20033.62</v>
      </c>
      <c r="L121" s="31"/>
    </row>
    <row r="122" spans="1:16" ht="21" customHeight="1" x14ac:dyDescent="0.3">
      <c r="A122" s="14">
        <v>12</v>
      </c>
      <c r="B122" s="33" t="s">
        <v>38</v>
      </c>
      <c r="C122" s="14"/>
      <c r="D122" s="33" t="s">
        <v>38</v>
      </c>
      <c r="E122" s="15" t="s">
        <v>42</v>
      </c>
      <c r="F122" s="14" t="s">
        <v>44</v>
      </c>
      <c r="G122" s="16"/>
      <c r="H122" s="16"/>
      <c r="I122" s="16"/>
      <c r="J122" s="16"/>
      <c r="K122" s="29">
        <v>9573.6200000000008</v>
      </c>
      <c r="L122" s="31"/>
    </row>
    <row r="123" spans="1:16" ht="21" customHeight="1" x14ac:dyDescent="0.3">
      <c r="A123" s="14">
        <v>13</v>
      </c>
      <c r="B123" s="33" t="s">
        <v>38</v>
      </c>
      <c r="C123" s="14"/>
      <c r="D123" s="33" t="s">
        <v>38</v>
      </c>
      <c r="E123" s="15"/>
      <c r="F123" s="14"/>
      <c r="G123" s="16"/>
      <c r="H123" s="16"/>
      <c r="I123" s="16"/>
      <c r="J123" s="16"/>
      <c r="K123" s="29">
        <f t="shared" ref="K123" si="26">G123</f>
        <v>0</v>
      </c>
      <c r="L123" s="17"/>
    </row>
    <row r="124" spans="1:16" ht="21" customHeight="1" x14ac:dyDescent="0.3">
      <c r="E124" s="10"/>
      <c r="G124" s="21">
        <f>SUM(G112:G116)</f>
        <v>0</v>
      </c>
      <c r="H124" s="21"/>
      <c r="I124" s="21"/>
      <c r="J124" s="21"/>
      <c r="K124" s="21">
        <f>SUMIF(L112:L123,"P",K112:K123)</f>
        <v>0</v>
      </c>
    </row>
    <row r="125" spans="1:16" ht="21" customHeight="1" thickBot="1" x14ac:dyDescent="0.35">
      <c r="E125" s="10"/>
      <c r="G125" s="10"/>
      <c r="H125" s="10"/>
      <c r="I125" s="10"/>
      <c r="J125" s="10"/>
      <c r="K125" s="10"/>
    </row>
    <row r="126" spans="1:16" ht="21" customHeight="1" thickBot="1" x14ac:dyDescent="0.35">
      <c r="E126" s="10"/>
      <c r="G126" s="10"/>
      <c r="H126" s="10"/>
      <c r="I126" s="10"/>
      <c r="J126" s="10"/>
      <c r="K126" s="10"/>
      <c r="O126" s="25" t="s">
        <v>49</v>
      </c>
      <c r="P126" s="35">
        <f>K20+K42+K64+K77+K91</f>
        <v>324</v>
      </c>
    </row>
    <row r="127" spans="1:16" ht="21" customHeight="1" thickBot="1" x14ac:dyDescent="0.35">
      <c r="G127" s="24" t="s">
        <v>10</v>
      </c>
      <c r="H127" s="25" t="s">
        <v>11</v>
      </c>
      <c r="I127" s="25" t="s">
        <v>12</v>
      </c>
      <c r="J127" s="25" t="s">
        <v>13</v>
      </c>
      <c r="K127" s="26" t="s">
        <v>14</v>
      </c>
      <c r="O127" s="25" t="s">
        <v>26</v>
      </c>
      <c r="P127" s="35">
        <f>K110</f>
        <v>670</v>
      </c>
    </row>
    <row r="128" spans="1:16" ht="21" customHeight="1" thickBot="1" x14ac:dyDescent="0.35">
      <c r="G128" s="35">
        <f>G20+G42+G103+G110+G124+G64+G91+G77</f>
        <v>970</v>
      </c>
      <c r="H128" s="35">
        <f>H20+H42+H103+H110+H124+H64+H91+H77</f>
        <v>48</v>
      </c>
      <c r="I128" s="35">
        <f>I20+I42+I103+I110+I124+I64+I91+I77</f>
        <v>16</v>
      </c>
      <c r="J128" s="35">
        <f>J20+J42+J103+J110+J124+J64+J91+J77</f>
        <v>8</v>
      </c>
      <c r="K128" s="35">
        <f>K20+K42+K103+K110+K124+K64+K91+K77</f>
        <v>994</v>
      </c>
      <c r="O128" s="25" t="s">
        <v>5</v>
      </c>
      <c r="P128" s="35">
        <f>K103</f>
        <v>0</v>
      </c>
    </row>
    <row r="129" spans="5:16" ht="21" customHeight="1" thickBot="1" x14ac:dyDescent="0.35">
      <c r="O129" s="25" t="s">
        <v>50</v>
      </c>
      <c r="P129" s="35">
        <f>K124</f>
        <v>0</v>
      </c>
    </row>
    <row r="130" spans="5:16" s="37" customFormat="1" ht="21" customHeight="1" x14ac:dyDescent="0.3">
      <c r="E130" s="36"/>
      <c r="G130" s="38"/>
      <c r="H130" s="38"/>
      <c r="I130" s="38"/>
      <c r="J130" s="38"/>
      <c r="K130" s="38"/>
    </row>
  </sheetData>
  <mergeCells count="39">
    <mergeCell ref="B101:C101"/>
    <mergeCell ref="B79:C79"/>
    <mergeCell ref="M79:N79"/>
    <mergeCell ref="B93:C93"/>
    <mergeCell ref="B94:C94"/>
    <mergeCell ref="B95:C95"/>
    <mergeCell ref="B96:C96"/>
    <mergeCell ref="B97:C97"/>
    <mergeCell ref="B98:C98"/>
    <mergeCell ref="B99:C99"/>
    <mergeCell ref="B100:C100"/>
    <mergeCell ref="B18:C18"/>
    <mergeCell ref="B19:C19"/>
    <mergeCell ref="B22:C22"/>
    <mergeCell ref="M22:N22"/>
    <mergeCell ref="B44:C44"/>
    <mergeCell ref="M44:N44"/>
    <mergeCell ref="M20:Q20"/>
    <mergeCell ref="B13:C13"/>
    <mergeCell ref="B14:C14"/>
    <mergeCell ref="B15:C15"/>
    <mergeCell ref="B16:C16"/>
    <mergeCell ref="B17:C17"/>
    <mergeCell ref="P79:P82"/>
    <mergeCell ref="Q92:R106"/>
    <mergeCell ref="B12:C12"/>
    <mergeCell ref="B2:C2"/>
    <mergeCell ref="M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66:C66"/>
    <mergeCell ref="M66:N66"/>
  </mergeCells>
  <pageMargins left="0" right="0" top="0.74803149606299213" bottom="0.74803149606299213" header="0.31496062992125984" footer="0.31496062992125984"/>
  <pageSetup scale="6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9694-880C-4797-83A3-1285C9C7835B}">
  <dimension ref="A1:U269"/>
  <sheetViews>
    <sheetView zoomScale="70" zoomScaleNormal="70" workbookViewId="0">
      <pane ySplit="2" topLeftCell="A242" activePane="bottomLeft" state="frozen"/>
      <selection activeCell="C7" sqref="C7"/>
      <selection pane="bottomLeft" activeCell="F256" sqref="F256"/>
    </sheetView>
  </sheetViews>
  <sheetFormatPr baseColWidth="10" defaultRowHeight="21" customHeight="1" x14ac:dyDescent="0.3"/>
  <cols>
    <col min="1" max="1" width="11.44140625" style="39" bestFit="1" customWidth="1"/>
    <col min="2" max="2" width="8.77734375" style="40" bestFit="1" customWidth="1"/>
    <col min="3" max="3" width="38" style="41" bestFit="1" customWidth="1"/>
    <col min="4" max="4" width="16.109375" style="10" bestFit="1" customWidth="1"/>
    <col min="5" max="5" width="9.33203125" style="40" bestFit="1" customWidth="1"/>
    <col min="6" max="6" width="17.21875" style="10" bestFit="1" customWidth="1"/>
    <col min="7" max="7" width="17.33203125" style="10" bestFit="1" customWidth="1"/>
    <col min="8" max="8" width="18.21875" style="10" bestFit="1" customWidth="1"/>
    <col min="9" max="9" width="3.77734375" style="10" bestFit="1" customWidth="1"/>
    <col min="10" max="10" width="33.33203125" style="41" bestFit="1" customWidth="1"/>
    <col min="11" max="11" width="18.5546875" style="10" bestFit="1" customWidth="1"/>
    <col min="12" max="12" width="14.33203125" style="39" bestFit="1" customWidth="1"/>
    <col min="13" max="13" width="15.5546875" style="39" bestFit="1" customWidth="1"/>
    <col min="14" max="14" width="11.5546875" style="39"/>
    <col min="15" max="15" width="11.6640625" style="39" bestFit="1" customWidth="1"/>
    <col min="16" max="16" width="13.44140625" style="39" bestFit="1" customWidth="1"/>
    <col min="17" max="17" width="12" style="39" customWidth="1"/>
    <col min="18" max="18" width="14.77734375" style="39" bestFit="1" customWidth="1"/>
    <col min="19" max="19" width="11.6640625" style="39" bestFit="1" customWidth="1"/>
    <col min="20" max="21" width="14.77734375" style="39" bestFit="1" customWidth="1"/>
    <col min="22" max="16384" width="11.5546875" style="39"/>
  </cols>
  <sheetData>
    <row r="1" spans="1:21" ht="21" customHeight="1" x14ac:dyDescent="0.3">
      <c r="F1" s="123" t="s">
        <v>51</v>
      </c>
      <c r="G1" s="123"/>
      <c r="H1" s="123"/>
    </row>
    <row r="2" spans="1:21" ht="21" customHeight="1" x14ac:dyDescent="0.3">
      <c r="A2" s="42" t="s">
        <v>52</v>
      </c>
      <c r="B2" s="43" t="s">
        <v>53</v>
      </c>
      <c r="C2" s="44" t="s">
        <v>54</v>
      </c>
      <c r="D2" s="124" t="s">
        <v>55</v>
      </c>
      <c r="E2" s="125"/>
      <c r="F2" s="45" t="s">
        <v>10</v>
      </c>
      <c r="G2" s="45" t="s">
        <v>11</v>
      </c>
      <c r="H2" s="45" t="s">
        <v>14</v>
      </c>
      <c r="I2" s="45" t="s">
        <v>56</v>
      </c>
      <c r="J2" s="44" t="s">
        <v>57</v>
      </c>
      <c r="K2" s="46" t="s">
        <v>58</v>
      </c>
      <c r="L2" s="47" t="s">
        <v>9</v>
      </c>
      <c r="M2" s="47" t="s">
        <v>9</v>
      </c>
      <c r="O2" s="48" t="s">
        <v>59</v>
      </c>
      <c r="P2" s="49" t="s">
        <v>60</v>
      </c>
      <c r="Q2" s="45" t="s">
        <v>61</v>
      </c>
      <c r="R2" s="50" t="s">
        <v>61</v>
      </c>
      <c r="S2" s="51" t="s">
        <v>59</v>
      </c>
    </row>
    <row r="3" spans="1:21" ht="21" customHeight="1" x14ac:dyDescent="0.3">
      <c r="A3" s="39">
        <v>1</v>
      </c>
      <c r="B3" s="52" t="s">
        <v>62</v>
      </c>
      <c r="C3" s="53">
        <v>46024</v>
      </c>
      <c r="D3" s="47" t="s">
        <v>63</v>
      </c>
      <c r="E3" s="52">
        <v>945</v>
      </c>
      <c r="F3" s="30">
        <v>24720</v>
      </c>
      <c r="G3" s="30">
        <f>F3*16%</f>
        <v>3955.2000000000003</v>
      </c>
      <c r="H3" s="30">
        <f>F3+G3</f>
        <v>28675.200000000001</v>
      </c>
      <c r="I3" s="30" t="s">
        <v>15</v>
      </c>
      <c r="J3" s="53">
        <v>46037</v>
      </c>
      <c r="K3" s="47" t="s">
        <v>64</v>
      </c>
      <c r="L3" s="47" t="s">
        <v>65</v>
      </c>
      <c r="M3" s="47"/>
      <c r="O3" s="54">
        <f t="shared" ref="O3:O66" si="0">P3/F3</f>
        <v>0.27184466019417475</v>
      </c>
      <c r="P3" s="16">
        <v>6720</v>
      </c>
      <c r="Q3" s="16">
        <v>1680</v>
      </c>
      <c r="R3" s="16">
        <v>26400</v>
      </c>
      <c r="S3" s="54">
        <f t="shared" ref="S3:S66" si="1">Q3/R3</f>
        <v>6.363636363636363E-2</v>
      </c>
    </row>
    <row r="4" spans="1:21" ht="21" customHeight="1" x14ac:dyDescent="0.3">
      <c r="A4" s="39">
        <f t="shared" ref="A4:A67" si="2">A3+1</f>
        <v>2</v>
      </c>
      <c r="B4" s="52" t="s">
        <v>66</v>
      </c>
      <c r="C4" s="53">
        <v>46024</v>
      </c>
      <c r="D4" s="47" t="s">
        <v>63</v>
      </c>
      <c r="E4" s="52">
        <v>946</v>
      </c>
      <c r="F4" s="30">
        <v>68200</v>
      </c>
      <c r="G4" s="30">
        <f t="shared" ref="G4:G9" si="3">F4*16%</f>
        <v>10912</v>
      </c>
      <c r="H4" s="30">
        <f t="shared" ref="H4:H9" si="4">F4+G4</f>
        <v>79112</v>
      </c>
      <c r="I4" s="30" t="s">
        <v>15</v>
      </c>
      <c r="J4" s="53">
        <v>46037</v>
      </c>
      <c r="K4" s="47" t="s">
        <v>67</v>
      </c>
      <c r="L4" s="47" t="s">
        <v>68</v>
      </c>
      <c r="M4" s="47"/>
      <c r="O4" s="54">
        <f t="shared" si="0"/>
        <v>6.1583577712609971E-2</v>
      </c>
      <c r="P4" s="16">
        <v>4200</v>
      </c>
      <c r="Q4" s="16">
        <v>1800</v>
      </c>
      <c r="R4" s="16">
        <v>70000</v>
      </c>
      <c r="S4" s="54">
        <f t="shared" si="1"/>
        <v>2.5714285714285714E-2</v>
      </c>
    </row>
    <row r="5" spans="1:21" ht="21" customHeight="1" x14ac:dyDescent="0.3">
      <c r="A5" s="39">
        <f t="shared" si="2"/>
        <v>3</v>
      </c>
      <c r="B5" s="52" t="s">
        <v>69</v>
      </c>
      <c r="C5" s="53">
        <v>46028</v>
      </c>
      <c r="D5" s="47" t="s">
        <v>63</v>
      </c>
      <c r="E5" s="52">
        <v>947</v>
      </c>
      <c r="F5" s="30">
        <v>3150</v>
      </c>
      <c r="G5" s="30">
        <f t="shared" si="3"/>
        <v>504</v>
      </c>
      <c r="H5" s="30">
        <f t="shared" si="4"/>
        <v>3654</v>
      </c>
      <c r="I5" s="30" t="s">
        <v>15</v>
      </c>
      <c r="J5" s="53">
        <v>46037</v>
      </c>
      <c r="K5" s="47" t="s">
        <v>70</v>
      </c>
      <c r="L5" s="47" t="s">
        <v>71</v>
      </c>
      <c r="M5" s="47"/>
      <c r="O5" s="54">
        <f t="shared" si="0"/>
        <v>0.14285714285714285</v>
      </c>
      <c r="P5" s="16">
        <v>450</v>
      </c>
      <c r="Q5" s="16">
        <v>450</v>
      </c>
      <c r="R5" s="16">
        <v>3600</v>
      </c>
      <c r="S5" s="54">
        <f t="shared" si="1"/>
        <v>0.125</v>
      </c>
    </row>
    <row r="6" spans="1:21" ht="21" customHeight="1" x14ac:dyDescent="0.3">
      <c r="A6" s="39">
        <f t="shared" si="2"/>
        <v>4</v>
      </c>
      <c r="B6" s="52" t="s">
        <v>72</v>
      </c>
      <c r="C6" s="53">
        <v>46032</v>
      </c>
      <c r="D6" s="47" t="s">
        <v>63</v>
      </c>
      <c r="E6" s="52">
        <v>951</v>
      </c>
      <c r="F6" s="30">
        <v>70400</v>
      </c>
      <c r="G6" s="30">
        <f t="shared" si="3"/>
        <v>11264</v>
      </c>
      <c r="H6" s="30">
        <f t="shared" si="4"/>
        <v>81664</v>
      </c>
      <c r="I6" s="30" t="s">
        <v>15</v>
      </c>
      <c r="J6" s="53">
        <v>46037</v>
      </c>
      <c r="K6" s="47" t="s">
        <v>73</v>
      </c>
      <c r="L6" s="47" t="s">
        <v>68</v>
      </c>
      <c r="M6" s="47" t="s">
        <v>74</v>
      </c>
      <c r="O6" s="54">
        <f t="shared" si="0"/>
        <v>9.0909090909090912E-2</v>
      </c>
      <c r="P6" s="16">
        <v>6400</v>
      </c>
      <c r="Q6" s="16">
        <v>1600</v>
      </c>
      <c r="R6" s="16">
        <v>72000</v>
      </c>
      <c r="S6" s="54">
        <f t="shared" si="1"/>
        <v>2.2222222222222223E-2</v>
      </c>
    </row>
    <row r="7" spans="1:21" ht="21" customHeight="1" x14ac:dyDescent="0.3">
      <c r="A7" s="39">
        <f t="shared" si="2"/>
        <v>5</v>
      </c>
      <c r="B7" s="52" t="s">
        <v>75</v>
      </c>
      <c r="C7" s="53">
        <v>46032</v>
      </c>
      <c r="D7" s="47" t="s">
        <v>63</v>
      </c>
      <c r="E7" s="52">
        <v>952</v>
      </c>
      <c r="F7" s="30">
        <v>53400</v>
      </c>
      <c r="G7" s="30">
        <f t="shared" si="3"/>
        <v>8544</v>
      </c>
      <c r="H7" s="30">
        <f t="shared" si="4"/>
        <v>61944</v>
      </c>
      <c r="I7" s="30" t="s">
        <v>15</v>
      </c>
      <c r="J7" s="53">
        <v>46037</v>
      </c>
      <c r="K7" s="47" t="s">
        <v>76</v>
      </c>
      <c r="L7" s="47" t="s">
        <v>77</v>
      </c>
      <c r="M7" s="47" t="s">
        <v>78</v>
      </c>
      <c r="O7" s="54">
        <f t="shared" si="0"/>
        <v>0.1198501872659176</v>
      </c>
      <c r="P7" s="16">
        <v>6400</v>
      </c>
      <c r="Q7" s="16">
        <v>1600</v>
      </c>
      <c r="R7" s="16">
        <v>55000</v>
      </c>
      <c r="S7" s="54">
        <f t="shared" si="1"/>
        <v>2.9090909090909091E-2</v>
      </c>
    </row>
    <row r="8" spans="1:21" ht="21" customHeight="1" x14ac:dyDescent="0.3">
      <c r="A8" s="39">
        <f t="shared" si="2"/>
        <v>6</v>
      </c>
      <c r="B8" s="52" t="s">
        <v>79</v>
      </c>
      <c r="C8" s="53">
        <v>46032</v>
      </c>
      <c r="D8" s="47" t="s">
        <v>63</v>
      </c>
      <c r="E8" s="52">
        <v>954</v>
      </c>
      <c r="F8" s="30">
        <v>6200</v>
      </c>
      <c r="G8" s="30">
        <f t="shared" si="3"/>
        <v>992</v>
      </c>
      <c r="H8" s="30">
        <f t="shared" si="4"/>
        <v>7192</v>
      </c>
      <c r="I8" s="30" t="s">
        <v>15</v>
      </c>
      <c r="J8" s="53">
        <v>46037</v>
      </c>
      <c r="K8" s="47" t="s">
        <v>73</v>
      </c>
      <c r="L8" s="47" t="s">
        <v>80</v>
      </c>
      <c r="M8" s="47"/>
      <c r="O8" s="54">
        <f t="shared" si="0"/>
        <v>0.19354838709677419</v>
      </c>
      <c r="P8" s="16">
        <v>1200</v>
      </c>
      <c r="Q8" s="16">
        <v>300</v>
      </c>
      <c r="R8" s="16">
        <v>6500</v>
      </c>
      <c r="S8" s="54">
        <f t="shared" si="1"/>
        <v>4.6153846153846156E-2</v>
      </c>
    </row>
    <row r="9" spans="1:21" ht="21" customHeight="1" x14ac:dyDescent="0.3">
      <c r="A9" s="39">
        <f t="shared" si="2"/>
        <v>7</v>
      </c>
      <c r="B9" s="52" t="s">
        <v>81</v>
      </c>
      <c r="C9" s="53">
        <v>46032</v>
      </c>
      <c r="D9" s="47" t="s">
        <v>63</v>
      </c>
      <c r="E9" s="52">
        <v>955</v>
      </c>
      <c r="F9" s="30">
        <v>6200</v>
      </c>
      <c r="G9" s="30">
        <f t="shared" si="3"/>
        <v>992</v>
      </c>
      <c r="H9" s="30">
        <f t="shared" si="4"/>
        <v>7192</v>
      </c>
      <c r="I9" s="30" t="s">
        <v>15</v>
      </c>
      <c r="J9" s="53">
        <v>46037</v>
      </c>
      <c r="K9" s="47" t="s">
        <v>82</v>
      </c>
      <c r="L9" s="47" t="s">
        <v>80</v>
      </c>
      <c r="M9" s="47"/>
      <c r="O9" s="54">
        <f t="shared" si="0"/>
        <v>0.19354838709677419</v>
      </c>
      <c r="P9" s="16">
        <v>1200</v>
      </c>
      <c r="Q9" s="16">
        <v>300</v>
      </c>
      <c r="R9" s="16">
        <v>6500</v>
      </c>
      <c r="S9" s="54">
        <f t="shared" si="1"/>
        <v>4.6153846153846156E-2</v>
      </c>
      <c r="T9" s="55">
        <f>SUM(R3:R9)</f>
        <v>240000</v>
      </c>
      <c r="U9" s="55">
        <f>T9*1.16</f>
        <v>278400</v>
      </c>
    </row>
    <row r="10" spans="1:21" ht="21" customHeight="1" x14ac:dyDescent="0.3">
      <c r="A10" s="39">
        <f t="shared" si="2"/>
        <v>8</v>
      </c>
      <c r="B10" s="52" t="s">
        <v>83</v>
      </c>
      <c r="C10" s="53">
        <v>46032</v>
      </c>
      <c r="D10" s="47" t="s">
        <v>63</v>
      </c>
      <c r="E10" s="52">
        <v>958</v>
      </c>
      <c r="F10" s="30">
        <v>61800</v>
      </c>
      <c r="G10" s="30">
        <f>F10*16%</f>
        <v>9888</v>
      </c>
      <c r="H10" s="30">
        <f>F10+G10</f>
        <v>71688</v>
      </c>
      <c r="I10" s="30" t="s">
        <v>15</v>
      </c>
      <c r="J10" s="53">
        <v>46052</v>
      </c>
      <c r="K10" s="47" t="s">
        <v>84</v>
      </c>
      <c r="L10" s="47" t="s">
        <v>77</v>
      </c>
      <c r="M10" s="47" t="s">
        <v>85</v>
      </c>
      <c r="O10" s="54">
        <f t="shared" si="0"/>
        <v>7.7669902912621352E-2</v>
      </c>
      <c r="P10" s="16">
        <v>4800</v>
      </c>
      <c r="Q10" s="16">
        <v>1200</v>
      </c>
      <c r="R10" s="16">
        <v>63000</v>
      </c>
      <c r="S10" s="54">
        <f t="shared" si="1"/>
        <v>1.9047619047619049E-2</v>
      </c>
    </row>
    <row r="11" spans="1:21" ht="21" customHeight="1" x14ac:dyDescent="0.3">
      <c r="A11" s="39">
        <f t="shared" si="2"/>
        <v>9</v>
      </c>
      <c r="B11" s="52" t="s">
        <v>86</v>
      </c>
      <c r="C11" s="53">
        <v>46032</v>
      </c>
      <c r="D11" s="47" t="s">
        <v>63</v>
      </c>
      <c r="E11" s="52">
        <v>959</v>
      </c>
      <c r="F11" s="30">
        <v>61800</v>
      </c>
      <c r="G11" s="30">
        <f t="shared" ref="G11:G74" si="5">F11*16%</f>
        <v>9888</v>
      </c>
      <c r="H11" s="30">
        <f t="shared" ref="H11:H73" si="6">F11+G11</f>
        <v>71688</v>
      </c>
      <c r="I11" s="30" t="s">
        <v>15</v>
      </c>
      <c r="J11" s="53">
        <v>46052</v>
      </c>
      <c r="K11" s="47" t="s">
        <v>87</v>
      </c>
      <c r="L11" s="47" t="s">
        <v>77</v>
      </c>
      <c r="M11" s="47" t="s">
        <v>85</v>
      </c>
      <c r="O11" s="54">
        <f t="shared" si="0"/>
        <v>7.7669902912621352E-2</v>
      </c>
      <c r="P11" s="16">
        <v>4800</v>
      </c>
      <c r="Q11" s="16">
        <v>1200</v>
      </c>
      <c r="R11" s="16">
        <v>63000</v>
      </c>
      <c r="S11" s="54">
        <f t="shared" si="1"/>
        <v>1.9047619047619049E-2</v>
      </c>
    </row>
    <row r="12" spans="1:21" ht="21" customHeight="1" x14ac:dyDescent="0.3">
      <c r="A12" s="39">
        <f t="shared" si="2"/>
        <v>10</v>
      </c>
      <c r="B12" s="52" t="s">
        <v>88</v>
      </c>
      <c r="C12" s="53">
        <v>46032</v>
      </c>
      <c r="D12" s="47" t="s">
        <v>63</v>
      </c>
      <c r="E12" s="52">
        <v>961</v>
      </c>
      <c r="F12" s="30">
        <v>61800</v>
      </c>
      <c r="G12" s="30">
        <f t="shared" si="5"/>
        <v>9888</v>
      </c>
      <c r="H12" s="30">
        <f t="shared" si="6"/>
        <v>71688</v>
      </c>
      <c r="I12" s="30" t="s">
        <v>15</v>
      </c>
      <c r="J12" s="53">
        <v>46052</v>
      </c>
      <c r="K12" s="47" t="s">
        <v>89</v>
      </c>
      <c r="L12" s="47" t="s">
        <v>77</v>
      </c>
      <c r="M12" s="47" t="s">
        <v>85</v>
      </c>
      <c r="O12" s="54">
        <f t="shared" si="0"/>
        <v>7.7669902912621352E-2</v>
      </c>
      <c r="P12" s="16">
        <v>4800</v>
      </c>
      <c r="Q12" s="16">
        <v>1200</v>
      </c>
      <c r="R12" s="16">
        <v>63000</v>
      </c>
      <c r="S12" s="54">
        <f t="shared" si="1"/>
        <v>1.9047619047619049E-2</v>
      </c>
    </row>
    <row r="13" spans="1:21" ht="21" customHeight="1" x14ac:dyDescent="0.3">
      <c r="A13" s="39">
        <f t="shared" si="2"/>
        <v>11</v>
      </c>
      <c r="B13" s="52" t="s">
        <v>90</v>
      </c>
      <c r="C13" s="53">
        <v>46032</v>
      </c>
      <c r="D13" s="47" t="s">
        <v>63</v>
      </c>
      <c r="E13" s="52">
        <v>962</v>
      </c>
      <c r="F13" s="30">
        <v>40150</v>
      </c>
      <c r="G13" s="30">
        <f t="shared" si="5"/>
        <v>6424</v>
      </c>
      <c r="H13" s="30">
        <f t="shared" si="6"/>
        <v>46574</v>
      </c>
      <c r="I13" s="30" t="s">
        <v>15</v>
      </c>
      <c r="J13" s="53">
        <v>46052</v>
      </c>
      <c r="K13" s="47" t="s">
        <v>91</v>
      </c>
      <c r="L13" s="47" t="s">
        <v>77</v>
      </c>
      <c r="M13" s="47" t="s">
        <v>85</v>
      </c>
      <c r="O13" s="54">
        <f t="shared" si="0"/>
        <v>0.11955168119551682</v>
      </c>
      <c r="P13" s="16">
        <v>4800</v>
      </c>
      <c r="Q13" s="16">
        <v>1200</v>
      </c>
      <c r="R13" s="16">
        <v>41500</v>
      </c>
      <c r="S13" s="54">
        <f t="shared" si="1"/>
        <v>2.891566265060241E-2</v>
      </c>
    </row>
    <row r="14" spans="1:21" ht="21" customHeight="1" x14ac:dyDescent="0.3">
      <c r="A14" s="39">
        <f t="shared" si="2"/>
        <v>12</v>
      </c>
      <c r="B14" s="52" t="s">
        <v>92</v>
      </c>
      <c r="C14" s="53">
        <v>46032</v>
      </c>
      <c r="D14" s="47" t="s">
        <v>63</v>
      </c>
      <c r="E14" s="52">
        <v>963</v>
      </c>
      <c r="F14" s="30">
        <v>53800</v>
      </c>
      <c r="G14" s="30">
        <f t="shared" si="5"/>
        <v>8608</v>
      </c>
      <c r="H14" s="30">
        <f t="shared" si="6"/>
        <v>62408</v>
      </c>
      <c r="I14" s="30" t="s">
        <v>15</v>
      </c>
      <c r="J14" s="53">
        <v>46052</v>
      </c>
      <c r="K14" s="47" t="s">
        <v>93</v>
      </c>
      <c r="L14" s="47" t="s">
        <v>77</v>
      </c>
      <c r="M14" s="47" t="s">
        <v>94</v>
      </c>
      <c r="O14" s="54">
        <f t="shared" si="0"/>
        <v>0.1449814126394052</v>
      </c>
      <c r="P14" s="16">
        <v>7800</v>
      </c>
      <c r="Q14" s="16">
        <v>1200</v>
      </c>
      <c r="R14" s="16">
        <v>55000</v>
      </c>
      <c r="S14" s="54">
        <f t="shared" si="1"/>
        <v>2.181818181818182E-2</v>
      </c>
    </row>
    <row r="15" spans="1:21" ht="21" customHeight="1" x14ac:dyDescent="0.3">
      <c r="A15" s="39">
        <f t="shared" si="2"/>
        <v>13</v>
      </c>
      <c r="B15" s="52" t="s">
        <v>95</v>
      </c>
      <c r="C15" s="53">
        <v>46035</v>
      </c>
      <c r="D15" s="47" t="s">
        <v>63</v>
      </c>
      <c r="E15" s="52">
        <v>943</v>
      </c>
      <c r="F15" s="30">
        <v>525</v>
      </c>
      <c r="G15" s="30">
        <f t="shared" si="5"/>
        <v>84</v>
      </c>
      <c r="H15" s="30">
        <f t="shared" si="6"/>
        <v>609</v>
      </c>
      <c r="I15" s="30" t="s">
        <v>15</v>
      </c>
      <c r="J15" s="53">
        <v>46037</v>
      </c>
      <c r="K15" s="47"/>
      <c r="L15" s="47" t="s">
        <v>71</v>
      </c>
      <c r="M15" s="47"/>
      <c r="O15" s="54">
        <f t="shared" si="0"/>
        <v>0.14285714285714285</v>
      </c>
      <c r="P15" s="16">
        <v>75</v>
      </c>
      <c r="Q15" s="16">
        <v>75</v>
      </c>
      <c r="R15" s="16">
        <v>600</v>
      </c>
      <c r="S15" s="54">
        <f t="shared" si="1"/>
        <v>0.125</v>
      </c>
    </row>
    <row r="16" spans="1:21" ht="21" customHeight="1" x14ac:dyDescent="0.3">
      <c r="A16" s="39">
        <f t="shared" si="2"/>
        <v>14</v>
      </c>
      <c r="B16" s="52" t="s">
        <v>96</v>
      </c>
      <c r="C16" s="53">
        <v>46037</v>
      </c>
      <c r="D16" s="47" t="s">
        <v>63</v>
      </c>
      <c r="E16" s="52">
        <v>965</v>
      </c>
      <c r="F16" s="30">
        <v>2550</v>
      </c>
      <c r="G16" s="30">
        <f t="shared" si="5"/>
        <v>408</v>
      </c>
      <c r="H16" s="30">
        <f t="shared" si="6"/>
        <v>2958</v>
      </c>
      <c r="I16" s="30" t="s">
        <v>15</v>
      </c>
      <c r="J16" s="53">
        <v>46052</v>
      </c>
      <c r="K16" s="47" t="s">
        <v>97</v>
      </c>
      <c r="L16" s="47" t="s">
        <v>65</v>
      </c>
      <c r="M16" s="47"/>
      <c r="O16" s="54">
        <f t="shared" si="0"/>
        <v>0.13725490196078433</v>
      </c>
      <c r="P16" s="16">
        <v>350</v>
      </c>
      <c r="Q16" s="16">
        <v>150</v>
      </c>
      <c r="R16" s="16">
        <v>2700</v>
      </c>
      <c r="S16" s="54">
        <f t="shared" si="1"/>
        <v>5.5555555555555552E-2</v>
      </c>
    </row>
    <row r="17" spans="1:19" ht="21" customHeight="1" x14ac:dyDescent="0.3">
      <c r="A17" s="39">
        <f t="shared" si="2"/>
        <v>15</v>
      </c>
      <c r="B17" s="52" t="s">
        <v>98</v>
      </c>
      <c r="C17" s="53">
        <v>46037</v>
      </c>
      <c r="D17" s="47" t="s">
        <v>63</v>
      </c>
      <c r="E17" s="52">
        <v>967</v>
      </c>
      <c r="F17" s="30">
        <v>3150</v>
      </c>
      <c r="G17" s="30">
        <f t="shared" si="5"/>
        <v>504</v>
      </c>
      <c r="H17" s="30">
        <f t="shared" si="6"/>
        <v>3654</v>
      </c>
      <c r="I17" s="30" t="s">
        <v>15</v>
      </c>
      <c r="J17" s="53">
        <v>46052</v>
      </c>
      <c r="K17" s="47" t="s">
        <v>99</v>
      </c>
      <c r="L17" s="47" t="s">
        <v>71</v>
      </c>
      <c r="M17" s="47"/>
      <c r="O17" s="54">
        <f t="shared" si="0"/>
        <v>0.14285714285714285</v>
      </c>
      <c r="P17" s="16">
        <v>450</v>
      </c>
      <c r="Q17" s="16">
        <v>450</v>
      </c>
      <c r="R17" s="16">
        <v>3600</v>
      </c>
      <c r="S17" s="54">
        <f t="shared" si="1"/>
        <v>0.125</v>
      </c>
    </row>
    <row r="18" spans="1:19" ht="21" customHeight="1" x14ac:dyDescent="0.3">
      <c r="A18" s="39">
        <f t="shared" si="2"/>
        <v>16</v>
      </c>
      <c r="B18" s="52" t="s">
        <v>100</v>
      </c>
      <c r="C18" s="53">
        <v>46037</v>
      </c>
      <c r="D18" s="47" t="s">
        <v>63</v>
      </c>
      <c r="E18" s="52">
        <v>968</v>
      </c>
      <c r="F18" s="30">
        <v>525</v>
      </c>
      <c r="G18" s="30">
        <f t="shared" si="5"/>
        <v>84</v>
      </c>
      <c r="H18" s="30">
        <f t="shared" si="6"/>
        <v>609</v>
      </c>
      <c r="I18" s="30" t="s">
        <v>15</v>
      </c>
      <c r="J18" s="53">
        <v>46052</v>
      </c>
      <c r="K18" s="47" t="s">
        <v>99</v>
      </c>
      <c r="L18" s="47" t="s">
        <v>71</v>
      </c>
      <c r="M18" s="47"/>
      <c r="O18" s="54">
        <f t="shared" si="0"/>
        <v>0.14285714285714285</v>
      </c>
      <c r="P18" s="16">
        <v>75</v>
      </c>
      <c r="Q18" s="16">
        <v>75</v>
      </c>
      <c r="R18" s="16">
        <v>600</v>
      </c>
      <c r="S18" s="54">
        <f t="shared" si="1"/>
        <v>0.125</v>
      </c>
    </row>
    <row r="19" spans="1:19" ht="21" customHeight="1" x14ac:dyDescent="0.3">
      <c r="A19" s="39">
        <f t="shared" si="2"/>
        <v>17</v>
      </c>
      <c r="B19" s="52" t="s">
        <v>101</v>
      </c>
      <c r="C19" s="53">
        <v>46037</v>
      </c>
      <c r="D19" s="47" t="s">
        <v>63</v>
      </c>
      <c r="E19" s="52">
        <v>971</v>
      </c>
      <c r="F19" s="30">
        <v>16480</v>
      </c>
      <c r="G19" s="30">
        <f t="shared" si="5"/>
        <v>2636.8</v>
      </c>
      <c r="H19" s="30">
        <f t="shared" si="6"/>
        <v>19116.8</v>
      </c>
      <c r="I19" s="30" t="s">
        <v>15</v>
      </c>
      <c r="J19" s="53">
        <v>46052</v>
      </c>
      <c r="K19" s="47" t="s">
        <v>102</v>
      </c>
      <c r="L19" s="47" t="s">
        <v>65</v>
      </c>
      <c r="M19" s="47"/>
      <c r="O19" s="54">
        <f t="shared" si="0"/>
        <v>0.27184466019417475</v>
      </c>
      <c r="P19" s="16">
        <v>4480</v>
      </c>
      <c r="Q19" s="16">
        <v>1120</v>
      </c>
      <c r="R19" s="16">
        <v>17600</v>
      </c>
      <c r="S19" s="54">
        <f t="shared" si="1"/>
        <v>6.363636363636363E-2</v>
      </c>
    </row>
    <row r="20" spans="1:19" ht="21" customHeight="1" x14ac:dyDescent="0.3">
      <c r="A20" s="39">
        <f t="shared" si="2"/>
        <v>18</v>
      </c>
      <c r="B20" s="52" t="s">
        <v>103</v>
      </c>
      <c r="C20" s="53">
        <v>46037</v>
      </c>
      <c r="D20" s="47" t="s">
        <v>63</v>
      </c>
      <c r="E20" s="52">
        <v>972</v>
      </c>
      <c r="F20" s="30">
        <v>17750</v>
      </c>
      <c r="G20" s="30">
        <f t="shared" si="5"/>
        <v>2840</v>
      </c>
      <c r="H20" s="30">
        <f t="shared" si="6"/>
        <v>20590</v>
      </c>
      <c r="I20" s="30" t="s">
        <v>15</v>
      </c>
      <c r="J20" s="53">
        <v>46052</v>
      </c>
      <c r="K20" s="47" t="s">
        <v>104</v>
      </c>
      <c r="L20" s="47" t="s">
        <v>77</v>
      </c>
      <c r="M20" s="47"/>
      <c r="O20" s="54">
        <f t="shared" si="0"/>
        <v>9.8591549295774641E-2</v>
      </c>
      <c r="P20" s="16">
        <v>1750</v>
      </c>
      <c r="Q20" s="16">
        <v>120</v>
      </c>
      <c r="R20" s="16">
        <v>18500</v>
      </c>
      <c r="S20" s="54">
        <f t="shared" si="1"/>
        <v>6.4864864864864862E-3</v>
      </c>
    </row>
    <row r="21" spans="1:19" ht="21" customHeight="1" x14ac:dyDescent="0.3">
      <c r="A21" s="39">
        <f t="shared" si="2"/>
        <v>19</v>
      </c>
      <c r="B21" s="52" t="s">
        <v>105</v>
      </c>
      <c r="C21" s="53">
        <v>46038</v>
      </c>
      <c r="D21" s="47" t="s">
        <v>106</v>
      </c>
      <c r="E21" s="52" t="s">
        <v>107</v>
      </c>
      <c r="F21" s="30">
        <v>1000</v>
      </c>
      <c r="G21" s="30">
        <f t="shared" si="5"/>
        <v>160</v>
      </c>
      <c r="H21" s="30">
        <f t="shared" si="6"/>
        <v>1160</v>
      </c>
      <c r="I21" s="30" t="s">
        <v>15</v>
      </c>
      <c r="J21" s="53">
        <v>46052</v>
      </c>
      <c r="K21" s="47" t="s">
        <v>108</v>
      </c>
      <c r="L21" s="47" t="s">
        <v>108</v>
      </c>
      <c r="M21" s="47"/>
      <c r="O21" s="54">
        <f t="shared" si="0"/>
        <v>1</v>
      </c>
      <c r="P21" s="16">
        <v>1000</v>
      </c>
      <c r="Q21" s="16">
        <v>0</v>
      </c>
      <c r="R21" s="16">
        <v>0</v>
      </c>
      <c r="S21" s="54" t="e">
        <f t="shared" si="1"/>
        <v>#DIV/0!</v>
      </c>
    </row>
    <row r="22" spans="1:19" ht="21" customHeight="1" x14ac:dyDescent="0.3">
      <c r="A22" s="39">
        <f t="shared" si="2"/>
        <v>20</v>
      </c>
      <c r="B22" s="52" t="s">
        <v>109</v>
      </c>
      <c r="C22" s="53">
        <v>46038</v>
      </c>
      <c r="D22" s="47" t="s">
        <v>63</v>
      </c>
      <c r="E22" s="52">
        <v>976</v>
      </c>
      <c r="F22" s="30">
        <v>4200</v>
      </c>
      <c r="G22" s="30">
        <f t="shared" si="5"/>
        <v>672</v>
      </c>
      <c r="H22" s="30">
        <f t="shared" si="6"/>
        <v>4872</v>
      </c>
      <c r="I22" s="30" t="s">
        <v>15</v>
      </c>
      <c r="J22" s="53">
        <v>46052</v>
      </c>
      <c r="K22" s="47" t="s">
        <v>110</v>
      </c>
      <c r="L22" s="47" t="s">
        <v>71</v>
      </c>
      <c r="M22" s="47"/>
      <c r="O22" s="54">
        <f t="shared" si="0"/>
        <v>0.14285714285714285</v>
      </c>
      <c r="P22" s="16">
        <v>600</v>
      </c>
      <c r="Q22" s="16">
        <v>600</v>
      </c>
      <c r="R22" s="16">
        <v>4800</v>
      </c>
      <c r="S22" s="54">
        <f t="shared" si="1"/>
        <v>0.125</v>
      </c>
    </row>
    <row r="23" spans="1:19" ht="21" customHeight="1" x14ac:dyDescent="0.3">
      <c r="A23" s="39">
        <f t="shared" si="2"/>
        <v>21</v>
      </c>
      <c r="B23" s="56" t="s">
        <v>111</v>
      </c>
      <c r="C23" s="57" t="s">
        <v>112</v>
      </c>
      <c r="D23" s="57" t="s">
        <v>112</v>
      </c>
      <c r="E23" s="56"/>
      <c r="F23" s="58">
        <v>0</v>
      </c>
      <c r="G23" s="58">
        <f t="shared" si="5"/>
        <v>0</v>
      </c>
      <c r="H23" s="58">
        <f t="shared" si="6"/>
        <v>0</v>
      </c>
      <c r="I23" s="58" t="s">
        <v>15</v>
      </c>
      <c r="J23" s="57" t="s">
        <v>112</v>
      </c>
      <c r="K23" s="59" t="s">
        <v>112</v>
      </c>
      <c r="L23" s="59" t="s">
        <v>112</v>
      </c>
      <c r="M23" s="59" t="s">
        <v>112</v>
      </c>
      <c r="O23" s="59" t="s">
        <v>112</v>
      </c>
      <c r="P23" s="59" t="s">
        <v>112</v>
      </c>
      <c r="Q23" s="59" t="s">
        <v>112</v>
      </c>
      <c r="R23" s="59" t="s">
        <v>112</v>
      </c>
      <c r="S23" s="59" t="s">
        <v>112</v>
      </c>
    </row>
    <row r="24" spans="1:19" ht="21" customHeight="1" x14ac:dyDescent="0.3">
      <c r="A24" s="39">
        <f t="shared" si="2"/>
        <v>22</v>
      </c>
      <c r="B24" s="56" t="s">
        <v>113</v>
      </c>
      <c r="C24" s="57" t="s">
        <v>112</v>
      </c>
      <c r="D24" s="57" t="s">
        <v>112</v>
      </c>
      <c r="E24" s="56"/>
      <c r="F24" s="58">
        <v>0</v>
      </c>
      <c r="G24" s="58">
        <f t="shared" si="5"/>
        <v>0</v>
      </c>
      <c r="H24" s="58">
        <f t="shared" si="6"/>
        <v>0</v>
      </c>
      <c r="I24" s="58" t="s">
        <v>15</v>
      </c>
      <c r="J24" s="57" t="s">
        <v>112</v>
      </c>
      <c r="K24" s="59" t="s">
        <v>112</v>
      </c>
      <c r="L24" s="59" t="s">
        <v>112</v>
      </c>
      <c r="M24" s="59" t="s">
        <v>112</v>
      </c>
      <c r="O24" s="59" t="s">
        <v>112</v>
      </c>
      <c r="P24" s="59" t="s">
        <v>112</v>
      </c>
      <c r="Q24" s="59" t="s">
        <v>112</v>
      </c>
      <c r="R24" s="59" t="s">
        <v>112</v>
      </c>
      <c r="S24" s="59" t="s">
        <v>112</v>
      </c>
    </row>
    <row r="25" spans="1:19" ht="21" customHeight="1" x14ac:dyDescent="0.3">
      <c r="A25" s="39">
        <f t="shared" si="2"/>
        <v>23</v>
      </c>
      <c r="B25" s="52" t="s">
        <v>114</v>
      </c>
      <c r="C25" s="53">
        <v>46042</v>
      </c>
      <c r="D25" s="47" t="s">
        <v>63</v>
      </c>
      <c r="E25" s="52">
        <v>978</v>
      </c>
      <c r="F25" s="30">
        <v>3150</v>
      </c>
      <c r="G25" s="30">
        <f t="shared" si="5"/>
        <v>504</v>
      </c>
      <c r="H25" s="30">
        <f t="shared" si="6"/>
        <v>3654</v>
      </c>
      <c r="I25" s="30" t="s">
        <v>15</v>
      </c>
      <c r="J25" s="53">
        <v>46052</v>
      </c>
      <c r="K25" s="47" t="s">
        <v>115</v>
      </c>
      <c r="L25" s="47" t="s">
        <v>71</v>
      </c>
      <c r="M25" s="47"/>
      <c r="O25" s="54">
        <f t="shared" si="0"/>
        <v>0.14285714285714285</v>
      </c>
      <c r="P25" s="16">
        <v>450</v>
      </c>
      <c r="Q25" s="16">
        <v>450</v>
      </c>
      <c r="R25" s="16">
        <v>3600</v>
      </c>
      <c r="S25" s="54">
        <f t="shared" si="1"/>
        <v>0.125</v>
      </c>
    </row>
    <row r="26" spans="1:19" ht="21" customHeight="1" x14ac:dyDescent="0.3">
      <c r="A26" s="39">
        <f t="shared" si="2"/>
        <v>24</v>
      </c>
      <c r="B26" s="52" t="s">
        <v>116</v>
      </c>
      <c r="C26" s="53">
        <v>46042</v>
      </c>
      <c r="D26" s="47" t="s">
        <v>63</v>
      </c>
      <c r="E26" s="52">
        <v>979</v>
      </c>
      <c r="F26" s="30">
        <v>1060</v>
      </c>
      <c r="G26" s="30">
        <f t="shared" si="5"/>
        <v>169.6</v>
      </c>
      <c r="H26" s="30">
        <f>F26+G26</f>
        <v>1229.5999999999999</v>
      </c>
      <c r="I26" s="30" t="s">
        <v>15</v>
      </c>
      <c r="J26" s="53">
        <v>46052</v>
      </c>
      <c r="K26" s="47" t="s">
        <v>117</v>
      </c>
      <c r="L26" s="47" t="s">
        <v>71</v>
      </c>
      <c r="M26" s="47"/>
      <c r="O26" s="54">
        <f t="shared" si="0"/>
        <v>0.14150943396226415</v>
      </c>
      <c r="P26" s="16">
        <v>150</v>
      </c>
      <c r="Q26" s="16">
        <v>150</v>
      </c>
      <c r="R26" s="16">
        <v>1200</v>
      </c>
      <c r="S26" s="54">
        <f t="shared" si="1"/>
        <v>0.125</v>
      </c>
    </row>
    <row r="27" spans="1:19" ht="21" customHeight="1" x14ac:dyDescent="0.3">
      <c r="A27" s="39">
        <f t="shared" si="2"/>
        <v>25</v>
      </c>
      <c r="B27" s="52" t="s">
        <v>118</v>
      </c>
      <c r="C27" s="53">
        <v>46043</v>
      </c>
      <c r="D27" s="47" t="s">
        <v>63</v>
      </c>
      <c r="E27" s="52">
        <v>983</v>
      </c>
      <c r="F27" s="30">
        <v>40375</v>
      </c>
      <c r="G27" s="30">
        <f t="shared" si="5"/>
        <v>6460</v>
      </c>
      <c r="H27" s="30">
        <f t="shared" si="6"/>
        <v>46835</v>
      </c>
      <c r="I27" s="30" t="s">
        <v>15</v>
      </c>
      <c r="J27" s="53">
        <v>46052</v>
      </c>
      <c r="K27" s="47" t="s">
        <v>119</v>
      </c>
      <c r="L27" s="47" t="s">
        <v>77</v>
      </c>
      <c r="M27" s="47"/>
      <c r="O27" s="54">
        <f t="shared" si="0"/>
        <v>8.3591331269349839E-2</v>
      </c>
      <c r="P27" s="16">
        <v>3375</v>
      </c>
      <c r="Q27" s="16">
        <v>1125</v>
      </c>
      <c r="R27" s="16">
        <v>41500</v>
      </c>
      <c r="S27" s="54">
        <f t="shared" si="1"/>
        <v>2.710843373493976E-2</v>
      </c>
    </row>
    <row r="28" spans="1:19" ht="21" customHeight="1" x14ac:dyDescent="0.3">
      <c r="A28" s="39">
        <f t="shared" si="2"/>
        <v>26</v>
      </c>
      <c r="B28" s="52" t="s">
        <v>120</v>
      </c>
      <c r="C28" s="53">
        <v>46043</v>
      </c>
      <c r="D28" s="47" t="s">
        <v>63</v>
      </c>
      <c r="E28" s="52">
        <v>984</v>
      </c>
      <c r="F28" s="30">
        <v>67375</v>
      </c>
      <c r="G28" s="30">
        <f t="shared" si="5"/>
        <v>10780</v>
      </c>
      <c r="H28" s="30">
        <f t="shared" si="6"/>
        <v>78155</v>
      </c>
      <c r="I28" s="30" t="s">
        <v>15</v>
      </c>
      <c r="J28" s="53">
        <v>46052</v>
      </c>
      <c r="K28" s="47" t="s">
        <v>121</v>
      </c>
      <c r="L28" s="47" t="s">
        <v>77</v>
      </c>
      <c r="M28" s="47"/>
      <c r="O28" s="54">
        <f t="shared" si="0"/>
        <v>5.0092764378478663E-2</v>
      </c>
      <c r="P28" s="16">
        <v>3375</v>
      </c>
      <c r="Q28" s="16">
        <v>1125</v>
      </c>
      <c r="R28" s="16">
        <v>68500</v>
      </c>
      <c r="S28" s="54">
        <f t="shared" si="1"/>
        <v>1.6423357664233577E-2</v>
      </c>
    </row>
    <row r="29" spans="1:19" ht="21" customHeight="1" x14ac:dyDescent="0.3">
      <c r="A29" s="39">
        <f t="shared" si="2"/>
        <v>27</v>
      </c>
      <c r="B29" s="52" t="s">
        <v>122</v>
      </c>
      <c r="C29" s="53">
        <v>46044</v>
      </c>
      <c r="D29" s="47" t="s">
        <v>63</v>
      </c>
      <c r="E29" s="52">
        <v>986</v>
      </c>
      <c r="F29" s="30">
        <v>4130</v>
      </c>
      <c r="G29" s="30">
        <f t="shared" si="5"/>
        <v>660.80000000000007</v>
      </c>
      <c r="H29" s="30">
        <f t="shared" si="6"/>
        <v>4790.8</v>
      </c>
      <c r="I29" s="30" t="s">
        <v>15</v>
      </c>
      <c r="J29" s="53">
        <v>46052</v>
      </c>
      <c r="K29" s="47" t="s">
        <v>123</v>
      </c>
      <c r="L29" s="47" t="s">
        <v>65</v>
      </c>
      <c r="M29" s="47"/>
      <c r="O29" s="54">
        <f t="shared" si="0"/>
        <v>0.15254237288135594</v>
      </c>
      <c r="P29" s="16">
        <v>630</v>
      </c>
      <c r="Q29" s="16">
        <v>270</v>
      </c>
      <c r="R29" s="16">
        <v>4400</v>
      </c>
      <c r="S29" s="54">
        <f t="shared" si="1"/>
        <v>6.1363636363636363E-2</v>
      </c>
    </row>
    <row r="30" spans="1:19" ht="21" customHeight="1" x14ac:dyDescent="0.3">
      <c r="A30" s="39">
        <f t="shared" si="2"/>
        <v>28</v>
      </c>
      <c r="B30" s="56" t="s">
        <v>124</v>
      </c>
      <c r="C30" s="57" t="s">
        <v>112</v>
      </c>
      <c r="D30" s="57" t="s">
        <v>112</v>
      </c>
      <c r="E30" s="56"/>
      <c r="F30" s="58">
        <v>0</v>
      </c>
      <c r="G30" s="58">
        <f t="shared" si="5"/>
        <v>0</v>
      </c>
      <c r="H30" s="58">
        <f t="shared" si="6"/>
        <v>0</v>
      </c>
      <c r="I30" s="58" t="s">
        <v>15</v>
      </c>
      <c r="J30" s="57" t="s">
        <v>112</v>
      </c>
      <c r="K30" s="59" t="s">
        <v>112</v>
      </c>
      <c r="L30" s="59" t="s">
        <v>112</v>
      </c>
      <c r="M30" s="59" t="s">
        <v>112</v>
      </c>
      <c r="O30" s="59" t="s">
        <v>112</v>
      </c>
      <c r="P30" s="59" t="s">
        <v>112</v>
      </c>
      <c r="Q30" s="59" t="s">
        <v>112</v>
      </c>
      <c r="R30" s="59" t="s">
        <v>112</v>
      </c>
      <c r="S30" s="59" t="s">
        <v>112</v>
      </c>
    </row>
    <row r="31" spans="1:19" ht="21" customHeight="1" x14ac:dyDescent="0.3">
      <c r="A31" s="39">
        <f t="shared" si="2"/>
        <v>29</v>
      </c>
      <c r="B31" s="52" t="s">
        <v>125</v>
      </c>
      <c r="C31" s="53">
        <v>46045</v>
      </c>
      <c r="D31" s="47" t="s">
        <v>63</v>
      </c>
      <c r="E31" s="52">
        <v>989</v>
      </c>
      <c r="F31" s="30">
        <v>23050</v>
      </c>
      <c r="G31" s="30">
        <f t="shared" si="5"/>
        <v>3688</v>
      </c>
      <c r="H31" s="30">
        <f t="shared" si="6"/>
        <v>26738</v>
      </c>
      <c r="I31" s="30" t="s">
        <v>15</v>
      </c>
      <c r="J31" s="53">
        <v>46052</v>
      </c>
      <c r="K31" s="47" t="s">
        <v>126</v>
      </c>
      <c r="L31" s="47" t="s">
        <v>127</v>
      </c>
      <c r="M31" s="47" t="s">
        <v>128</v>
      </c>
      <c r="O31" s="54">
        <f t="shared" ref="O31:O46" si="7">P31/F31</f>
        <v>4.5553145336225599E-2</v>
      </c>
      <c r="P31" s="16">
        <v>1050</v>
      </c>
      <c r="Q31" s="16">
        <v>450</v>
      </c>
      <c r="R31" s="16">
        <v>23500</v>
      </c>
      <c r="S31" s="54">
        <f t="shared" ref="S31:S46" si="8">Q31/R31</f>
        <v>1.9148936170212766E-2</v>
      </c>
    </row>
    <row r="32" spans="1:19" ht="21" customHeight="1" x14ac:dyDescent="0.3">
      <c r="A32" s="39">
        <f t="shared" si="2"/>
        <v>30</v>
      </c>
      <c r="B32" s="52" t="s">
        <v>129</v>
      </c>
      <c r="C32" s="53">
        <v>46045</v>
      </c>
      <c r="D32" s="47" t="s">
        <v>63</v>
      </c>
      <c r="E32" s="52">
        <v>990</v>
      </c>
      <c r="F32" s="30">
        <v>70400</v>
      </c>
      <c r="G32" s="30">
        <f t="shared" si="5"/>
        <v>11264</v>
      </c>
      <c r="H32" s="30">
        <f t="shared" si="6"/>
        <v>81664</v>
      </c>
      <c r="I32" s="30" t="s">
        <v>15</v>
      </c>
      <c r="J32" s="53">
        <v>46052</v>
      </c>
      <c r="K32" s="47" t="s">
        <v>130</v>
      </c>
      <c r="L32" s="47" t="s">
        <v>77</v>
      </c>
      <c r="M32" s="47"/>
      <c r="O32" s="54">
        <f t="shared" si="7"/>
        <v>9.0909090909090912E-2</v>
      </c>
      <c r="P32" s="16">
        <v>6400</v>
      </c>
      <c r="Q32" s="16">
        <v>1600</v>
      </c>
      <c r="R32" s="16">
        <v>72000</v>
      </c>
      <c r="S32" s="54">
        <f t="shared" si="8"/>
        <v>2.2222222222222223E-2</v>
      </c>
    </row>
    <row r="33" spans="1:19" ht="21" customHeight="1" x14ac:dyDescent="0.3">
      <c r="A33" s="39">
        <f t="shared" si="2"/>
        <v>31</v>
      </c>
      <c r="B33" s="52" t="s">
        <v>131</v>
      </c>
      <c r="C33" s="53">
        <v>46045</v>
      </c>
      <c r="D33" s="47" t="s">
        <v>63</v>
      </c>
      <c r="E33" s="52">
        <v>991</v>
      </c>
      <c r="F33" s="30">
        <v>6050</v>
      </c>
      <c r="G33" s="30">
        <f t="shared" si="5"/>
        <v>968</v>
      </c>
      <c r="H33" s="30">
        <f t="shared" si="6"/>
        <v>7018</v>
      </c>
      <c r="I33" s="30" t="s">
        <v>15</v>
      </c>
      <c r="J33" s="53">
        <v>46052</v>
      </c>
      <c r="K33" s="47" t="s">
        <v>132</v>
      </c>
      <c r="L33" s="47" t="s">
        <v>133</v>
      </c>
      <c r="M33" s="47"/>
      <c r="O33" s="54">
        <f t="shared" si="7"/>
        <v>0.17355371900826447</v>
      </c>
      <c r="P33" s="16">
        <v>1050</v>
      </c>
      <c r="Q33" s="16">
        <v>450</v>
      </c>
      <c r="R33" s="16">
        <v>6500</v>
      </c>
      <c r="S33" s="54">
        <f t="shared" si="8"/>
        <v>6.9230769230769235E-2</v>
      </c>
    </row>
    <row r="34" spans="1:19" ht="21" customHeight="1" x14ac:dyDescent="0.3">
      <c r="A34" s="39">
        <f t="shared" si="2"/>
        <v>32</v>
      </c>
      <c r="B34" s="52" t="s">
        <v>134</v>
      </c>
      <c r="C34" s="53">
        <v>46046</v>
      </c>
      <c r="D34" s="47" t="s">
        <v>63</v>
      </c>
      <c r="E34" s="52">
        <v>992</v>
      </c>
      <c r="F34" s="30">
        <v>525</v>
      </c>
      <c r="G34" s="30">
        <f t="shared" si="5"/>
        <v>84</v>
      </c>
      <c r="H34" s="30">
        <f t="shared" si="6"/>
        <v>609</v>
      </c>
      <c r="I34" s="30" t="s">
        <v>15</v>
      </c>
      <c r="J34" s="53">
        <v>46052</v>
      </c>
      <c r="K34" s="47" t="s">
        <v>135</v>
      </c>
      <c r="L34" s="47" t="s">
        <v>71</v>
      </c>
      <c r="M34" s="47"/>
      <c r="O34" s="54">
        <f t="shared" si="7"/>
        <v>0.14285714285714285</v>
      </c>
      <c r="P34" s="16">
        <v>75</v>
      </c>
      <c r="Q34" s="16">
        <v>75</v>
      </c>
      <c r="R34" s="16">
        <v>600</v>
      </c>
      <c r="S34" s="54">
        <f t="shared" si="8"/>
        <v>0.125</v>
      </c>
    </row>
    <row r="35" spans="1:19" ht="21" customHeight="1" x14ac:dyDescent="0.3">
      <c r="A35" s="39">
        <f t="shared" si="2"/>
        <v>33</v>
      </c>
      <c r="B35" s="60" t="s">
        <v>136</v>
      </c>
      <c r="C35" s="61">
        <v>46049</v>
      </c>
      <c r="D35" s="62" t="s">
        <v>63</v>
      </c>
      <c r="E35" s="63">
        <v>994</v>
      </c>
      <c r="F35" s="64">
        <v>1050</v>
      </c>
      <c r="G35" s="64">
        <f t="shared" si="5"/>
        <v>168</v>
      </c>
      <c r="H35" s="64">
        <f t="shared" si="6"/>
        <v>1218</v>
      </c>
      <c r="I35" s="64" t="s">
        <v>15</v>
      </c>
      <c r="J35" s="61">
        <v>46052</v>
      </c>
      <c r="K35" s="62" t="s">
        <v>137</v>
      </c>
      <c r="L35" s="62" t="s">
        <v>71</v>
      </c>
      <c r="M35" s="62"/>
      <c r="O35" s="54">
        <f t="shared" si="7"/>
        <v>0.14285714285714285</v>
      </c>
      <c r="P35" s="16">
        <v>150</v>
      </c>
      <c r="Q35" s="16">
        <v>150</v>
      </c>
      <c r="R35" s="16">
        <v>1200</v>
      </c>
      <c r="S35" s="54">
        <f t="shared" si="8"/>
        <v>0.125</v>
      </c>
    </row>
    <row r="36" spans="1:19" ht="21" customHeight="1" x14ac:dyDescent="0.3">
      <c r="A36" s="39">
        <f t="shared" si="2"/>
        <v>34</v>
      </c>
      <c r="B36" s="52" t="s">
        <v>138</v>
      </c>
      <c r="C36" s="53">
        <v>46057</v>
      </c>
      <c r="D36" s="47" t="s">
        <v>63</v>
      </c>
      <c r="E36" s="52">
        <v>999</v>
      </c>
      <c r="F36" s="30">
        <v>13850</v>
      </c>
      <c r="G36" s="30">
        <f t="shared" si="5"/>
        <v>2216</v>
      </c>
      <c r="H36" s="30">
        <f t="shared" si="6"/>
        <v>16066</v>
      </c>
      <c r="I36" s="30" t="s">
        <v>15</v>
      </c>
      <c r="J36" s="53">
        <v>46066</v>
      </c>
      <c r="K36" s="47" t="s">
        <v>139</v>
      </c>
      <c r="L36" s="47" t="s">
        <v>65</v>
      </c>
      <c r="M36" s="47" t="s">
        <v>140</v>
      </c>
      <c r="O36" s="54">
        <f t="shared" si="7"/>
        <v>0.20577617328519857</v>
      </c>
      <c r="P36" s="16">
        <v>2850</v>
      </c>
      <c r="Q36" s="16">
        <v>850</v>
      </c>
      <c r="R36" s="16">
        <v>14700</v>
      </c>
      <c r="S36" s="54">
        <f t="shared" si="8"/>
        <v>5.7823129251700682E-2</v>
      </c>
    </row>
    <row r="37" spans="1:19" ht="21" customHeight="1" x14ac:dyDescent="0.3">
      <c r="A37" s="39">
        <f t="shared" si="2"/>
        <v>35</v>
      </c>
      <c r="B37" s="52" t="s">
        <v>141</v>
      </c>
      <c r="C37" s="53">
        <v>46057</v>
      </c>
      <c r="D37" s="47" t="s">
        <v>63</v>
      </c>
      <c r="E37" s="52" t="s">
        <v>142</v>
      </c>
      <c r="F37" s="30">
        <v>525</v>
      </c>
      <c r="G37" s="30">
        <f t="shared" si="5"/>
        <v>84</v>
      </c>
      <c r="H37" s="30">
        <f t="shared" si="6"/>
        <v>609</v>
      </c>
      <c r="I37" s="30" t="s">
        <v>15</v>
      </c>
      <c r="J37" s="53">
        <v>46066</v>
      </c>
      <c r="K37" s="47" t="s">
        <v>143</v>
      </c>
      <c r="L37" s="47" t="s">
        <v>71</v>
      </c>
      <c r="M37" s="47" t="s">
        <v>144</v>
      </c>
      <c r="O37" s="54">
        <f t="shared" si="7"/>
        <v>0.14285714285714285</v>
      </c>
      <c r="P37" s="16">
        <v>75</v>
      </c>
      <c r="Q37" s="16">
        <v>75</v>
      </c>
      <c r="R37" s="16">
        <v>600</v>
      </c>
      <c r="S37" s="54">
        <f t="shared" si="8"/>
        <v>0.125</v>
      </c>
    </row>
    <row r="38" spans="1:19" ht="21" customHeight="1" x14ac:dyDescent="0.3">
      <c r="A38" s="39">
        <f t="shared" si="2"/>
        <v>36</v>
      </c>
      <c r="B38" s="52" t="s">
        <v>145</v>
      </c>
      <c r="C38" s="53">
        <v>46057</v>
      </c>
      <c r="D38" s="47" t="s">
        <v>63</v>
      </c>
      <c r="E38" s="52" t="s">
        <v>146</v>
      </c>
      <c r="F38" s="30">
        <v>1800</v>
      </c>
      <c r="G38" s="30">
        <f t="shared" si="5"/>
        <v>288</v>
      </c>
      <c r="H38" s="30">
        <f t="shared" si="6"/>
        <v>2088</v>
      </c>
      <c r="I38" s="30" t="s">
        <v>15</v>
      </c>
      <c r="J38" s="53">
        <v>46066</v>
      </c>
      <c r="K38" s="47" t="s">
        <v>147</v>
      </c>
      <c r="L38" s="47" t="s">
        <v>71</v>
      </c>
      <c r="M38" s="47" t="s">
        <v>148</v>
      </c>
      <c r="O38" s="54">
        <f t="shared" si="7"/>
        <v>0.25</v>
      </c>
      <c r="P38" s="16">
        <v>450</v>
      </c>
      <c r="Q38" s="16">
        <v>0</v>
      </c>
      <c r="R38" s="16">
        <v>1800</v>
      </c>
      <c r="S38" s="54">
        <f t="shared" si="8"/>
        <v>0</v>
      </c>
    </row>
    <row r="39" spans="1:19" ht="21" customHeight="1" x14ac:dyDescent="0.3">
      <c r="A39" s="39">
        <f t="shared" si="2"/>
        <v>37</v>
      </c>
      <c r="B39" s="52" t="s">
        <v>149</v>
      </c>
      <c r="C39" s="53">
        <v>46057</v>
      </c>
      <c r="D39" s="47" t="s">
        <v>150</v>
      </c>
      <c r="E39" s="52" t="s">
        <v>150</v>
      </c>
      <c r="F39" s="30">
        <v>1200</v>
      </c>
      <c r="G39" s="30">
        <f t="shared" si="5"/>
        <v>192</v>
      </c>
      <c r="H39" s="30">
        <f t="shared" si="6"/>
        <v>1392</v>
      </c>
      <c r="I39" s="30" t="s">
        <v>15</v>
      </c>
      <c r="J39" s="53">
        <v>46058</v>
      </c>
      <c r="K39" s="47" t="s">
        <v>106</v>
      </c>
      <c r="L39" s="47" t="s">
        <v>106</v>
      </c>
      <c r="M39" s="47" t="s">
        <v>106</v>
      </c>
      <c r="O39" s="54">
        <f t="shared" si="7"/>
        <v>1</v>
      </c>
      <c r="P39" s="16">
        <v>1200</v>
      </c>
      <c r="Q39" s="16">
        <v>0</v>
      </c>
      <c r="R39" s="16">
        <v>0</v>
      </c>
      <c r="S39" s="54">
        <v>0</v>
      </c>
    </row>
    <row r="40" spans="1:19" ht="21" customHeight="1" x14ac:dyDescent="0.3">
      <c r="A40" s="39">
        <f t="shared" si="2"/>
        <v>38</v>
      </c>
      <c r="B40" s="52" t="s">
        <v>151</v>
      </c>
      <c r="C40" s="53">
        <v>46057</v>
      </c>
      <c r="D40" s="47" t="s">
        <v>63</v>
      </c>
      <c r="E40" s="52" t="s">
        <v>152</v>
      </c>
      <c r="F40" s="30">
        <v>97000</v>
      </c>
      <c r="G40" s="30">
        <f t="shared" si="5"/>
        <v>15520</v>
      </c>
      <c r="H40" s="30">
        <f t="shared" si="6"/>
        <v>112520</v>
      </c>
      <c r="I40" s="30" t="s">
        <v>15</v>
      </c>
      <c r="J40" s="53">
        <v>46066</v>
      </c>
      <c r="K40" s="47" t="s">
        <v>153</v>
      </c>
      <c r="L40" s="47" t="s">
        <v>77</v>
      </c>
      <c r="M40" s="47" t="s">
        <v>154</v>
      </c>
      <c r="O40" s="54">
        <f t="shared" si="7"/>
        <v>4.1237113402061855E-2</v>
      </c>
      <c r="P40" s="16">
        <v>4000</v>
      </c>
      <c r="Q40" s="16">
        <v>1000</v>
      </c>
      <c r="R40" s="16">
        <v>98000</v>
      </c>
      <c r="S40" s="54">
        <f t="shared" si="8"/>
        <v>1.020408163265306E-2</v>
      </c>
    </row>
    <row r="41" spans="1:19" ht="21" customHeight="1" x14ac:dyDescent="0.3">
      <c r="A41" s="39">
        <f t="shared" si="2"/>
        <v>39</v>
      </c>
      <c r="B41" s="52" t="s">
        <v>155</v>
      </c>
      <c r="C41" s="53">
        <v>46057</v>
      </c>
      <c r="D41" s="47" t="s">
        <v>63</v>
      </c>
      <c r="E41" s="52" t="s">
        <v>156</v>
      </c>
      <c r="F41" s="30">
        <v>66000</v>
      </c>
      <c r="G41" s="30">
        <f t="shared" si="5"/>
        <v>10560</v>
      </c>
      <c r="H41" s="30">
        <f t="shared" si="6"/>
        <v>76560</v>
      </c>
      <c r="I41" s="30" t="s">
        <v>15</v>
      </c>
      <c r="J41" s="53">
        <v>46066</v>
      </c>
      <c r="K41" s="47" t="s">
        <v>157</v>
      </c>
      <c r="L41" s="47" t="s">
        <v>77</v>
      </c>
      <c r="M41" s="47" t="s">
        <v>158</v>
      </c>
      <c r="O41" s="54">
        <f t="shared" si="7"/>
        <v>6.0606060606060608E-2</v>
      </c>
      <c r="P41" s="16">
        <v>4000</v>
      </c>
      <c r="Q41" s="16">
        <v>1000</v>
      </c>
      <c r="R41" s="16">
        <v>67000</v>
      </c>
      <c r="S41" s="54">
        <f t="shared" si="8"/>
        <v>1.4925373134328358E-2</v>
      </c>
    </row>
    <row r="42" spans="1:19" ht="21" customHeight="1" x14ac:dyDescent="0.3">
      <c r="A42" s="39">
        <f t="shared" si="2"/>
        <v>40</v>
      </c>
      <c r="B42" s="52" t="s">
        <v>159</v>
      </c>
      <c r="C42" s="53">
        <v>46057</v>
      </c>
      <c r="D42" s="47" t="s">
        <v>63</v>
      </c>
      <c r="E42" s="52" t="s">
        <v>160</v>
      </c>
      <c r="F42" s="30">
        <v>4130</v>
      </c>
      <c r="G42" s="30">
        <f t="shared" si="5"/>
        <v>660.80000000000007</v>
      </c>
      <c r="H42" s="30">
        <f t="shared" si="6"/>
        <v>4790.8</v>
      </c>
      <c r="I42" s="30" t="s">
        <v>15</v>
      </c>
      <c r="J42" s="53">
        <v>46066</v>
      </c>
      <c r="K42" s="47" t="s">
        <v>161</v>
      </c>
      <c r="L42" s="47" t="s">
        <v>77</v>
      </c>
      <c r="M42" s="47" t="s">
        <v>162</v>
      </c>
      <c r="O42" s="54">
        <f t="shared" si="7"/>
        <v>3.1476997578692496E-2</v>
      </c>
      <c r="P42" s="16">
        <v>130</v>
      </c>
      <c r="Q42" s="16">
        <v>270</v>
      </c>
      <c r="R42" s="16">
        <v>4400</v>
      </c>
      <c r="S42" s="54">
        <f t="shared" si="8"/>
        <v>6.1363636363636363E-2</v>
      </c>
    </row>
    <row r="43" spans="1:19" ht="21" customHeight="1" x14ac:dyDescent="0.3">
      <c r="A43" s="39">
        <f t="shared" si="2"/>
        <v>41</v>
      </c>
      <c r="B43" s="52" t="s">
        <v>163</v>
      </c>
      <c r="C43" s="53">
        <v>46057</v>
      </c>
      <c r="D43" s="47" t="s">
        <v>63</v>
      </c>
      <c r="E43" s="52" t="s">
        <v>164</v>
      </c>
      <c r="F43" s="30">
        <v>49800</v>
      </c>
      <c r="G43" s="30">
        <f t="shared" si="5"/>
        <v>7968</v>
      </c>
      <c r="H43" s="30">
        <f t="shared" si="6"/>
        <v>57768</v>
      </c>
      <c r="I43" s="30" t="s">
        <v>15</v>
      </c>
      <c r="J43" s="53">
        <v>46066</v>
      </c>
      <c r="K43" s="47" t="s">
        <v>165</v>
      </c>
      <c r="L43" s="47" t="s">
        <v>77</v>
      </c>
      <c r="M43" s="47" t="s">
        <v>166</v>
      </c>
      <c r="O43" s="54">
        <f t="shared" si="7"/>
        <v>5.6224899598393573E-2</v>
      </c>
      <c r="P43" s="16">
        <v>2800</v>
      </c>
      <c r="Q43" s="16">
        <v>1200</v>
      </c>
      <c r="R43" s="16">
        <v>51000</v>
      </c>
      <c r="S43" s="54">
        <f t="shared" si="8"/>
        <v>2.3529411764705882E-2</v>
      </c>
    </row>
    <row r="44" spans="1:19" ht="21" customHeight="1" x14ac:dyDescent="0.3">
      <c r="A44" s="39">
        <f t="shared" si="2"/>
        <v>42</v>
      </c>
      <c r="B44" s="52" t="s">
        <v>167</v>
      </c>
      <c r="C44" s="53"/>
      <c r="D44" s="47" t="s">
        <v>106</v>
      </c>
      <c r="E44" s="52"/>
      <c r="F44" s="30"/>
      <c r="G44" s="30">
        <f t="shared" si="5"/>
        <v>0</v>
      </c>
      <c r="H44" s="30">
        <f t="shared" si="6"/>
        <v>0</v>
      </c>
      <c r="I44" s="30" t="s">
        <v>15</v>
      </c>
      <c r="J44" s="53">
        <v>46066</v>
      </c>
      <c r="K44" s="47"/>
      <c r="L44" s="47"/>
      <c r="M44" s="47"/>
      <c r="O44" s="54" t="e">
        <f t="shared" si="7"/>
        <v>#DIV/0!</v>
      </c>
      <c r="P44" s="16"/>
      <c r="Q44" s="16"/>
      <c r="R44" s="16"/>
      <c r="S44" s="54" t="e">
        <f t="shared" si="8"/>
        <v>#DIV/0!</v>
      </c>
    </row>
    <row r="45" spans="1:19" ht="21" customHeight="1" x14ac:dyDescent="0.3">
      <c r="A45" s="39">
        <f t="shared" si="2"/>
        <v>43</v>
      </c>
      <c r="B45" s="52" t="s">
        <v>168</v>
      </c>
      <c r="C45" s="53"/>
      <c r="D45" s="47" t="s">
        <v>63</v>
      </c>
      <c r="E45" s="52"/>
      <c r="F45" s="30"/>
      <c r="G45" s="30">
        <f t="shared" si="5"/>
        <v>0</v>
      </c>
      <c r="H45" s="30">
        <f t="shared" si="6"/>
        <v>0</v>
      </c>
      <c r="I45" s="30" t="s">
        <v>15</v>
      </c>
      <c r="J45" s="53">
        <v>46066</v>
      </c>
      <c r="K45" s="47"/>
      <c r="L45" s="47"/>
      <c r="M45" s="47"/>
      <c r="O45" s="54" t="e">
        <f t="shared" si="7"/>
        <v>#DIV/0!</v>
      </c>
      <c r="P45" s="16"/>
      <c r="Q45" s="16"/>
      <c r="R45" s="16"/>
      <c r="S45" s="54" t="e">
        <f t="shared" si="8"/>
        <v>#DIV/0!</v>
      </c>
    </row>
    <row r="46" spans="1:19" ht="21" customHeight="1" x14ac:dyDescent="0.3">
      <c r="A46" s="39">
        <f t="shared" si="2"/>
        <v>44</v>
      </c>
      <c r="B46" s="52" t="s">
        <v>169</v>
      </c>
      <c r="C46" s="53">
        <v>46065</v>
      </c>
      <c r="D46" s="47" t="s">
        <v>63</v>
      </c>
      <c r="E46" s="52" t="s">
        <v>170</v>
      </c>
      <c r="F46" s="30">
        <v>40150</v>
      </c>
      <c r="G46" s="30">
        <f t="shared" si="5"/>
        <v>6424</v>
      </c>
      <c r="H46" s="30">
        <f t="shared" si="6"/>
        <v>46574</v>
      </c>
      <c r="I46" s="30" t="s">
        <v>15</v>
      </c>
      <c r="J46" s="53">
        <v>46080</v>
      </c>
      <c r="K46" s="47" t="s">
        <v>171</v>
      </c>
      <c r="L46" s="47" t="s">
        <v>77</v>
      </c>
      <c r="M46" s="47" t="s">
        <v>172</v>
      </c>
      <c r="O46" s="54">
        <f t="shared" si="7"/>
        <v>7.8455790784557902E-2</v>
      </c>
      <c r="P46" s="16">
        <v>3150</v>
      </c>
      <c r="Q46" s="16">
        <v>1350</v>
      </c>
      <c r="R46" s="16">
        <v>41500</v>
      </c>
      <c r="S46" s="54">
        <f t="shared" si="8"/>
        <v>3.2530120481927709E-2</v>
      </c>
    </row>
    <row r="47" spans="1:19" ht="21" customHeight="1" x14ac:dyDescent="0.3">
      <c r="A47" s="39">
        <f t="shared" si="2"/>
        <v>45</v>
      </c>
      <c r="B47" s="52" t="s">
        <v>173</v>
      </c>
      <c r="C47" s="53">
        <v>46070</v>
      </c>
      <c r="D47" s="47" t="s">
        <v>63</v>
      </c>
      <c r="E47" s="52" t="s">
        <v>174</v>
      </c>
      <c r="F47" s="30">
        <v>7960</v>
      </c>
      <c r="G47" s="30">
        <f t="shared" si="5"/>
        <v>1273.6000000000001</v>
      </c>
      <c r="H47" s="30">
        <f t="shared" si="6"/>
        <v>9233.6</v>
      </c>
      <c r="I47" s="30" t="s">
        <v>15</v>
      </c>
      <c r="J47" s="53">
        <v>46080</v>
      </c>
      <c r="K47" s="47" t="s">
        <v>175</v>
      </c>
      <c r="L47" s="47" t="s">
        <v>71</v>
      </c>
      <c r="M47" s="47" t="s">
        <v>176</v>
      </c>
      <c r="O47" s="54">
        <f t="shared" si="0"/>
        <v>0.24623115577889448</v>
      </c>
      <c r="P47" s="16">
        <v>1960</v>
      </c>
      <c r="Q47" s="16">
        <v>840</v>
      </c>
      <c r="R47" s="16">
        <v>8800</v>
      </c>
      <c r="S47" s="54">
        <f t="shared" si="1"/>
        <v>9.5454545454545459E-2</v>
      </c>
    </row>
    <row r="48" spans="1:19" ht="21" customHeight="1" x14ac:dyDescent="0.3">
      <c r="A48" s="39">
        <f t="shared" si="2"/>
        <v>46</v>
      </c>
      <c r="B48" s="52" t="s">
        <v>177</v>
      </c>
      <c r="C48" s="53">
        <v>46070</v>
      </c>
      <c r="D48" s="47" t="s">
        <v>63</v>
      </c>
      <c r="E48" s="52" t="s">
        <v>178</v>
      </c>
      <c r="F48" s="30">
        <v>8960</v>
      </c>
      <c r="G48" s="30">
        <f t="shared" si="5"/>
        <v>1433.6000000000001</v>
      </c>
      <c r="H48" s="30">
        <f t="shared" si="6"/>
        <v>10393.6</v>
      </c>
      <c r="I48" s="30" t="s">
        <v>15</v>
      </c>
      <c r="J48" s="53">
        <v>46080</v>
      </c>
      <c r="K48" s="47" t="s">
        <v>179</v>
      </c>
      <c r="L48" s="47" t="s">
        <v>65</v>
      </c>
      <c r="M48" s="47" t="s">
        <v>176</v>
      </c>
      <c r="O48" s="54">
        <f t="shared" si="0"/>
        <v>0.21875</v>
      </c>
      <c r="P48" s="16">
        <v>1960</v>
      </c>
      <c r="Q48" s="16">
        <v>840</v>
      </c>
      <c r="R48" s="16">
        <v>9800</v>
      </c>
      <c r="S48" s="54">
        <f t="shared" si="1"/>
        <v>8.5714285714285715E-2</v>
      </c>
    </row>
    <row r="49" spans="1:19" ht="21" customHeight="1" x14ac:dyDescent="0.3">
      <c r="A49" s="39">
        <f t="shared" si="2"/>
        <v>47</v>
      </c>
      <c r="B49" s="52" t="s">
        <v>180</v>
      </c>
      <c r="C49" s="53">
        <v>46070</v>
      </c>
      <c r="D49" s="47" t="s">
        <v>63</v>
      </c>
      <c r="E49" s="52" t="s">
        <v>181</v>
      </c>
      <c r="F49" s="30">
        <v>8960</v>
      </c>
      <c r="G49" s="30">
        <f t="shared" si="5"/>
        <v>1433.6000000000001</v>
      </c>
      <c r="H49" s="30">
        <f t="shared" si="6"/>
        <v>10393.6</v>
      </c>
      <c r="I49" s="30" t="s">
        <v>15</v>
      </c>
      <c r="J49" s="53">
        <v>46080</v>
      </c>
      <c r="K49" s="47" t="s">
        <v>182</v>
      </c>
      <c r="L49" s="47" t="s">
        <v>65</v>
      </c>
      <c r="M49" s="47" t="s">
        <v>176</v>
      </c>
      <c r="O49" s="54">
        <f t="shared" si="0"/>
        <v>0.21875</v>
      </c>
      <c r="P49" s="16">
        <v>1960</v>
      </c>
      <c r="Q49" s="16">
        <v>840</v>
      </c>
      <c r="R49" s="16">
        <v>9800</v>
      </c>
      <c r="S49" s="54">
        <f t="shared" si="1"/>
        <v>8.5714285714285715E-2</v>
      </c>
    </row>
    <row r="50" spans="1:19" ht="21" customHeight="1" x14ac:dyDescent="0.3">
      <c r="A50" s="39">
        <f t="shared" si="2"/>
        <v>48</v>
      </c>
      <c r="B50" s="52" t="s">
        <v>183</v>
      </c>
      <c r="C50" s="53">
        <v>46070</v>
      </c>
      <c r="D50" s="47" t="s">
        <v>63</v>
      </c>
      <c r="E50" s="52" t="s">
        <v>184</v>
      </c>
      <c r="F50" s="30">
        <v>2625</v>
      </c>
      <c r="G50" s="30">
        <f t="shared" si="5"/>
        <v>420</v>
      </c>
      <c r="H50" s="30">
        <f t="shared" si="6"/>
        <v>3045</v>
      </c>
      <c r="I50" s="30" t="s">
        <v>15</v>
      </c>
      <c r="J50" s="53">
        <v>46080</v>
      </c>
      <c r="K50" s="47" t="s">
        <v>185</v>
      </c>
      <c r="L50" s="47" t="s">
        <v>71</v>
      </c>
      <c r="M50" s="47" t="s">
        <v>186</v>
      </c>
      <c r="O50" s="54">
        <f t="shared" si="0"/>
        <v>0.14285714285714285</v>
      </c>
      <c r="P50" s="16">
        <v>375</v>
      </c>
      <c r="Q50" s="16">
        <v>375</v>
      </c>
      <c r="R50" s="16">
        <v>3000</v>
      </c>
      <c r="S50" s="54">
        <f t="shared" si="1"/>
        <v>0.125</v>
      </c>
    </row>
    <row r="51" spans="1:19" ht="21" customHeight="1" x14ac:dyDescent="0.3">
      <c r="A51" s="39">
        <f t="shared" si="2"/>
        <v>49</v>
      </c>
      <c r="B51" s="52" t="s">
        <v>187</v>
      </c>
      <c r="C51" s="53">
        <v>46070</v>
      </c>
      <c r="D51" s="47" t="s">
        <v>63</v>
      </c>
      <c r="E51" s="52" t="s">
        <v>188</v>
      </c>
      <c r="F51" s="30">
        <v>53400</v>
      </c>
      <c r="G51" s="30">
        <f t="shared" si="5"/>
        <v>8544</v>
      </c>
      <c r="H51" s="30">
        <f t="shared" si="6"/>
        <v>61944</v>
      </c>
      <c r="I51" s="30" t="s">
        <v>15</v>
      </c>
      <c r="J51" s="53">
        <v>46080</v>
      </c>
      <c r="K51" s="47" t="s">
        <v>189</v>
      </c>
      <c r="L51" s="47" t="s">
        <v>77</v>
      </c>
      <c r="M51" s="47" t="s">
        <v>190</v>
      </c>
      <c r="O51" s="54">
        <f t="shared" si="0"/>
        <v>0.1198501872659176</v>
      </c>
      <c r="P51" s="16">
        <v>6400</v>
      </c>
      <c r="Q51" s="16">
        <v>1600</v>
      </c>
      <c r="R51" s="16">
        <v>55000</v>
      </c>
      <c r="S51" s="54">
        <f t="shared" si="1"/>
        <v>2.9090909090909091E-2</v>
      </c>
    </row>
    <row r="52" spans="1:19" ht="21" customHeight="1" x14ac:dyDescent="0.3">
      <c r="A52" s="39">
        <f t="shared" si="2"/>
        <v>50</v>
      </c>
      <c r="B52" s="52" t="s">
        <v>191</v>
      </c>
      <c r="C52" s="53">
        <v>46074</v>
      </c>
      <c r="D52" s="47" t="s">
        <v>63</v>
      </c>
      <c r="E52" s="52" t="s">
        <v>192</v>
      </c>
      <c r="F52" s="30">
        <v>70400</v>
      </c>
      <c r="G52" s="30">
        <f t="shared" si="5"/>
        <v>11264</v>
      </c>
      <c r="H52" s="30">
        <f t="shared" si="6"/>
        <v>81664</v>
      </c>
      <c r="I52" s="30" t="s">
        <v>15</v>
      </c>
      <c r="J52" s="53">
        <v>46080</v>
      </c>
      <c r="K52" s="47" t="s">
        <v>193</v>
      </c>
      <c r="L52" s="47" t="s">
        <v>77</v>
      </c>
      <c r="M52" s="47" t="s">
        <v>190</v>
      </c>
      <c r="O52" s="54">
        <f t="shared" si="0"/>
        <v>9.0909090909090912E-2</v>
      </c>
      <c r="P52" s="16">
        <v>6400</v>
      </c>
      <c r="Q52" s="16">
        <v>1600</v>
      </c>
      <c r="R52" s="16">
        <v>72000</v>
      </c>
      <c r="S52" s="54">
        <f t="shared" si="1"/>
        <v>2.2222222222222223E-2</v>
      </c>
    </row>
    <row r="53" spans="1:19" ht="21" customHeight="1" x14ac:dyDescent="0.3">
      <c r="A53" s="39">
        <f t="shared" si="2"/>
        <v>51</v>
      </c>
      <c r="B53" s="52" t="s">
        <v>194</v>
      </c>
      <c r="C53" s="53">
        <v>46074</v>
      </c>
      <c r="D53" s="47" t="s">
        <v>63</v>
      </c>
      <c r="E53" s="52" t="s">
        <v>195</v>
      </c>
      <c r="F53" s="30">
        <v>61800</v>
      </c>
      <c r="G53" s="30">
        <f t="shared" si="5"/>
        <v>9888</v>
      </c>
      <c r="H53" s="30">
        <f t="shared" si="6"/>
        <v>71688</v>
      </c>
      <c r="I53" s="30" t="s">
        <v>15</v>
      </c>
      <c r="J53" s="53">
        <v>46080</v>
      </c>
      <c r="K53" s="47" t="s">
        <v>196</v>
      </c>
      <c r="L53" s="47"/>
      <c r="M53" s="47"/>
      <c r="O53" s="54">
        <f t="shared" si="0"/>
        <v>7.7669902912621352E-2</v>
      </c>
      <c r="P53" s="16">
        <v>4800</v>
      </c>
      <c r="Q53" s="16">
        <v>1200</v>
      </c>
      <c r="R53" s="16">
        <v>73080</v>
      </c>
      <c r="S53" s="54">
        <f t="shared" si="1"/>
        <v>1.6420361247947456E-2</v>
      </c>
    </row>
    <row r="54" spans="1:19" ht="21" customHeight="1" x14ac:dyDescent="0.3">
      <c r="A54" s="39">
        <f t="shared" si="2"/>
        <v>52</v>
      </c>
      <c r="B54" s="52" t="s">
        <v>197</v>
      </c>
      <c r="C54" s="53">
        <v>46074</v>
      </c>
      <c r="D54" s="47" t="s">
        <v>63</v>
      </c>
      <c r="E54" s="52" t="s">
        <v>198</v>
      </c>
      <c r="F54" s="30">
        <v>61800</v>
      </c>
      <c r="G54" s="30">
        <f t="shared" si="5"/>
        <v>9888</v>
      </c>
      <c r="H54" s="30">
        <f t="shared" si="6"/>
        <v>71688</v>
      </c>
      <c r="I54" s="30" t="s">
        <v>15</v>
      </c>
      <c r="J54" s="53">
        <v>46080</v>
      </c>
      <c r="K54" s="47" t="s">
        <v>150</v>
      </c>
      <c r="L54" s="47"/>
      <c r="M54" s="47"/>
      <c r="O54" s="54">
        <f t="shared" si="0"/>
        <v>7.7669902912621352E-2</v>
      </c>
      <c r="P54" s="16">
        <v>4800</v>
      </c>
      <c r="Q54" s="16">
        <v>1200</v>
      </c>
      <c r="R54" s="16">
        <v>73080</v>
      </c>
      <c r="S54" s="54">
        <f t="shared" si="1"/>
        <v>1.6420361247947456E-2</v>
      </c>
    </row>
    <row r="55" spans="1:19" ht="21" customHeight="1" x14ac:dyDescent="0.3">
      <c r="A55" s="39">
        <f t="shared" si="2"/>
        <v>53</v>
      </c>
      <c r="B55" s="52" t="s">
        <v>199</v>
      </c>
      <c r="C55" s="53">
        <v>46079</v>
      </c>
      <c r="D55" s="47" t="s">
        <v>106</v>
      </c>
      <c r="E55" s="52"/>
      <c r="F55" s="30"/>
      <c r="G55" s="30">
        <f t="shared" si="5"/>
        <v>0</v>
      </c>
      <c r="H55" s="30">
        <f t="shared" si="6"/>
        <v>0</v>
      </c>
      <c r="I55" s="30" t="s">
        <v>15</v>
      </c>
      <c r="J55" s="53">
        <v>46080</v>
      </c>
      <c r="K55" s="47" t="s">
        <v>150</v>
      </c>
      <c r="L55" s="47"/>
      <c r="M55" s="47"/>
      <c r="O55" s="54" t="e">
        <f t="shared" si="0"/>
        <v>#DIV/0!</v>
      </c>
      <c r="P55" s="16"/>
      <c r="Q55" s="16"/>
      <c r="R55" s="16"/>
      <c r="S55" s="54" t="e">
        <f t="shared" si="1"/>
        <v>#DIV/0!</v>
      </c>
    </row>
    <row r="56" spans="1:19" ht="21" customHeight="1" x14ac:dyDescent="0.3">
      <c r="A56" s="65">
        <f t="shared" si="2"/>
        <v>54</v>
      </c>
      <c r="B56" s="52" t="s">
        <v>200</v>
      </c>
      <c r="C56" s="53">
        <v>46084</v>
      </c>
      <c r="D56" s="47" t="s">
        <v>63</v>
      </c>
      <c r="E56" s="52" t="s">
        <v>201</v>
      </c>
      <c r="F56" s="30">
        <v>1050</v>
      </c>
      <c r="G56" s="30">
        <f t="shared" si="5"/>
        <v>168</v>
      </c>
      <c r="H56" s="30">
        <f t="shared" si="6"/>
        <v>1218</v>
      </c>
      <c r="I56" s="30" t="s">
        <v>15</v>
      </c>
      <c r="J56" s="53">
        <v>46094</v>
      </c>
      <c r="K56" s="47" t="s">
        <v>202</v>
      </c>
      <c r="L56" s="47" t="s">
        <v>71</v>
      </c>
      <c r="M56" s="47"/>
      <c r="O56" s="54">
        <f t="shared" si="0"/>
        <v>0.14285714285714285</v>
      </c>
      <c r="P56" s="16">
        <v>150</v>
      </c>
      <c r="Q56" s="16">
        <v>150</v>
      </c>
      <c r="R56" s="16">
        <v>1200</v>
      </c>
      <c r="S56" s="54">
        <f t="shared" si="1"/>
        <v>0.125</v>
      </c>
    </row>
    <row r="57" spans="1:19" ht="21" customHeight="1" x14ac:dyDescent="0.3">
      <c r="A57" s="39">
        <f t="shared" si="2"/>
        <v>55</v>
      </c>
      <c r="B57" s="52" t="s">
        <v>203</v>
      </c>
      <c r="C57" s="53">
        <v>46084</v>
      </c>
      <c r="D57" s="47" t="s">
        <v>63</v>
      </c>
      <c r="E57" s="52" t="s">
        <v>204</v>
      </c>
      <c r="F57" s="30">
        <v>1475</v>
      </c>
      <c r="G57" s="30">
        <f t="shared" si="5"/>
        <v>236</v>
      </c>
      <c r="H57" s="30">
        <f t="shared" si="6"/>
        <v>1711</v>
      </c>
      <c r="I57" s="30" t="s">
        <v>15</v>
      </c>
      <c r="J57" s="53">
        <v>46094</v>
      </c>
      <c r="K57" s="47" t="s">
        <v>205</v>
      </c>
      <c r="L57" s="47" t="s">
        <v>71</v>
      </c>
      <c r="M57" s="47"/>
      <c r="O57" s="54">
        <f t="shared" si="0"/>
        <v>0.28813559322033899</v>
      </c>
      <c r="P57" s="16">
        <v>425</v>
      </c>
      <c r="Q57" s="16">
        <v>425</v>
      </c>
      <c r="R57" s="16">
        <v>1900</v>
      </c>
      <c r="S57" s="54">
        <f t="shared" si="1"/>
        <v>0.22368421052631579</v>
      </c>
    </row>
    <row r="58" spans="1:19" ht="21" customHeight="1" x14ac:dyDescent="0.3">
      <c r="A58" s="39">
        <f t="shared" si="2"/>
        <v>56</v>
      </c>
      <c r="B58" s="52" t="s">
        <v>206</v>
      </c>
      <c r="C58" s="53">
        <v>46084</v>
      </c>
      <c r="D58" s="47" t="s">
        <v>63</v>
      </c>
      <c r="E58" s="52" t="s">
        <v>207</v>
      </c>
      <c r="F58" s="30">
        <v>28200</v>
      </c>
      <c r="G58" s="30">
        <f t="shared" si="5"/>
        <v>4512</v>
      </c>
      <c r="H58" s="30">
        <f t="shared" si="6"/>
        <v>32712</v>
      </c>
      <c r="I58" s="30" t="s">
        <v>15</v>
      </c>
      <c r="J58" s="53">
        <v>46094</v>
      </c>
      <c r="K58" s="47"/>
      <c r="L58" s="47"/>
      <c r="M58" s="47"/>
      <c r="O58" s="54">
        <f t="shared" si="0"/>
        <v>0.18439716312056736</v>
      </c>
      <c r="P58" s="16">
        <v>5200</v>
      </c>
      <c r="Q58" s="16">
        <v>1300</v>
      </c>
      <c r="R58" s="16">
        <v>29500</v>
      </c>
      <c r="S58" s="54">
        <f t="shared" si="1"/>
        <v>4.4067796610169491E-2</v>
      </c>
    </row>
    <row r="59" spans="1:19" ht="21" customHeight="1" x14ac:dyDescent="0.3">
      <c r="A59" s="39">
        <f t="shared" si="2"/>
        <v>57</v>
      </c>
      <c r="B59" s="52" t="s">
        <v>208</v>
      </c>
      <c r="C59" s="53">
        <v>46094</v>
      </c>
      <c r="D59" s="47" t="s">
        <v>106</v>
      </c>
      <c r="E59" s="52" t="s">
        <v>150</v>
      </c>
      <c r="F59" s="30">
        <v>825</v>
      </c>
      <c r="G59" s="30">
        <f t="shared" si="5"/>
        <v>132</v>
      </c>
      <c r="H59" s="30">
        <f t="shared" si="6"/>
        <v>957</v>
      </c>
      <c r="I59" s="30" t="s">
        <v>15</v>
      </c>
      <c r="J59" s="53"/>
      <c r="K59" s="47"/>
      <c r="L59" s="47"/>
      <c r="M59" s="47"/>
      <c r="O59" s="54">
        <f t="shared" si="0"/>
        <v>0</v>
      </c>
      <c r="P59" s="16"/>
      <c r="Q59" s="16"/>
      <c r="R59" s="16"/>
      <c r="S59" s="54" t="e">
        <f t="shared" si="1"/>
        <v>#DIV/0!</v>
      </c>
    </row>
    <row r="60" spans="1:19" ht="21" customHeight="1" x14ac:dyDescent="0.3">
      <c r="A60" s="39">
        <f t="shared" si="2"/>
        <v>58</v>
      </c>
      <c r="B60" s="52" t="s">
        <v>209</v>
      </c>
      <c r="C60" s="53">
        <v>46095</v>
      </c>
      <c r="D60" s="47" t="s">
        <v>63</v>
      </c>
      <c r="E60" s="52" t="s">
        <v>210</v>
      </c>
      <c r="F60" s="30">
        <v>4620</v>
      </c>
      <c r="G60" s="30">
        <f t="shared" si="5"/>
        <v>739.2</v>
      </c>
      <c r="H60" s="30">
        <f t="shared" si="6"/>
        <v>5359.2</v>
      </c>
      <c r="I60" s="30" t="s">
        <v>15</v>
      </c>
      <c r="J60" s="53">
        <v>46112</v>
      </c>
      <c r="K60" s="47" t="s">
        <v>211</v>
      </c>
      <c r="L60" s="47" t="s">
        <v>212</v>
      </c>
      <c r="M60" s="47" t="s">
        <v>213</v>
      </c>
      <c r="O60" s="54">
        <f t="shared" si="0"/>
        <v>0.24242424242424243</v>
      </c>
      <c r="P60" s="16">
        <v>1120</v>
      </c>
      <c r="Q60" s="16">
        <v>280</v>
      </c>
      <c r="R60" s="16">
        <v>5684</v>
      </c>
      <c r="S60" s="54">
        <f t="shared" si="1"/>
        <v>4.9261083743842367E-2</v>
      </c>
    </row>
    <row r="61" spans="1:19" ht="21" customHeight="1" x14ac:dyDescent="0.3">
      <c r="A61" s="39">
        <f t="shared" si="2"/>
        <v>59</v>
      </c>
      <c r="B61" s="52" t="s">
        <v>214</v>
      </c>
      <c r="C61" s="53">
        <v>46095</v>
      </c>
      <c r="D61" s="47" t="s">
        <v>63</v>
      </c>
      <c r="E61" s="52" t="s">
        <v>215</v>
      </c>
      <c r="F61" s="30">
        <v>9240</v>
      </c>
      <c r="G61" s="30">
        <f t="shared" si="5"/>
        <v>1478.4</v>
      </c>
      <c r="H61" s="30">
        <f t="shared" si="6"/>
        <v>10718.4</v>
      </c>
      <c r="I61" s="30" t="s">
        <v>15</v>
      </c>
      <c r="J61" s="53">
        <v>46112</v>
      </c>
      <c r="K61" s="47" t="s">
        <v>216</v>
      </c>
      <c r="L61" s="47" t="s">
        <v>212</v>
      </c>
      <c r="M61" s="47" t="s">
        <v>213</v>
      </c>
      <c r="O61" s="54">
        <f t="shared" si="0"/>
        <v>0.24242424242424243</v>
      </c>
      <c r="P61" s="16">
        <v>2240</v>
      </c>
      <c r="Q61" s="16">
        <v>560</v>
      </c>
      <c r="R61" s="16">
        <v>11368</v>
      </c>
      <c r="S61" s="54">
        <f t="shared" si="1"/>
        <v>4.9261083743842367E-2</v>
      </c>
    </row>
    <row r="62" spans="1:19" ht="21" customHeight="1" x14ac:dyDescent="0.3">
      <c r="A62" s="39">
        <f t="shared" si="2"/>
        <v>60</v>
      </c>
      <c r="B62" s="52" t="s">
        <v>217</v>
      </c>
      <c r="C62" s="53">
        <v>46095</v>
      </c>
      <c r="D62" s="47" t="s">
        <v>63</v>
      </c>
      <c r="E62" s="52" t="s">
        <v>218</v>
      </c>
      <c r="F62" s="30">
        <v>40150</v>
      </c>
      <c r="G62" s="30">
        <f t="shared" si="5"/>
        <v>6424</v>
      </c>
      <c r="H62" s="30">
        <f t="shared" si="6"/>
        <v>46574</v>
      </c>
      <c r="I62" s="30" t="s">
        <v>15</v>
      </c>
      <c r="J62" s="53">
        <v>46112</v>
      </c>
      <c r="K62" s="47" t="s">
        <v>219</v>
      </c>
      <c r="L62" s="47" t="s">
        <v>212</v>
      </c>
      <c r="M62" s="47" t="s">
        <v>220</v>
      </c>
      <c r="O62" s="54">
        <f t="shared" si="0"/>
        <v>7.8455790784557902E-2</v>
      </c>
      <c r="P62" s="16">
        <v>3150</v>
      </c>
      <c r="Q62" s="16">
        <v>1350</v>
      </c>
      <c r="R62" s="16">
        <v>41500</v>
      </c>
      <c r="S62" s="54">
        <f t="shared" si="1"/>
        <v>3.2530120481927709E-2</v>
      </c>
    </row>
    <row r="63" spans="1:19" ht="21" customHeight="1" x14ac:dyDescent="0.3">
      <c r="A63" s="39">
        <f t="shared" si="2"/>
        <v>61</v>
      </c>
      <c r="B63" s="52" t="s">
        <v>221</v>
      </c>
      <c r="C63" s="53">
        <v>46095</v>
      </c>
      <c r="D63" s="47" t="s">
        <v>63</v>
      </c>
      <c r="E63" s="52" t="s">
        <v>222</v>
      </c>
      <c r="F63" s="30">
        <v>60500</v>
      </c>
      <c r="G63" s="30">
        <f t="shared" si="5"/>
        <v>9680</v>
      </c>
      <c r="H63" s="30">
        <f t="shared" si="6"/>
        <v>70180</v>
      </c>
      <c r="I63" s="30" t="s">
        <v>15</v>
      </c>
      <c r="J63" s="53">
        <v>46112</v>
      </c>
      <c r="K63" s="47" t="s">
        <v>223</v>
      </c>
      <c r="L63" s="47" t="s">
        <v>212</v>
      </c>
      <c r="M63" s="47" t="s">
        <v>220</v>
      </c>
      <c r="O63" s="54">
        <f t="shared" si="0"/>
        <v>5.7851239669421489E-2</v>
      </c>
      <c r="P63" s="16">
        <v>3500</v>
      </c>
      <c r="Q63" s="16">
        <v>1500</v>
      </c>
      <c r="R63" s="16">
        <v>62000</v>
      </c>
      <c r="S63" s="54">
        <f t="shared" si="1"/>
        <v>2.4193548387096774E-2</v>
      </c>
    </row>
    <row r="64" spans="1:19" ht="21" customHeight="1" x14ac:dyDescent="0.3">
      <c r="A64" s="39">
        <f t="shared" si="2"/>
        <v>62</v>
      </c>
      <c r="B64" s="52" t="s">
        <v>224</v>
      </c>
      <c r="C64" s="53">
        <v>46095</v>
      </c>
      <c r="D64" s="47" t="s">
        <v>63</v>
      </c>
      <c r="E64" s="52" t="s">
        <v>225</v>
      </c>
      <c r="F64" s="30">
        <v>3050</v>
      </c>
      <c r="G64" s="30">
        <f t="shared" si="5"/>
        <v>488</v>
      </c>
      <c r="H64" s="30">
        <f t="shared" si="6"/>
        <v>3538</v>
      </c>
      <c r="I64" s="30" t="s">
        <v>15</v>
      </c>
      <c r="J64" s="53">
        <v>46112</v>
      </c>
      <c r="K64" s="47" t="s">
        <v>226</v>
      </c>
      <c r="L64" s="47" t="s">
        <v>71</v>
      </c>
      <c r="M64" s="47" t="s">
        <v>220</v>
      </c>
      <c r="O64" s="54">
        <f t="shared" si="0"/>
        <v>0.21311475409836064</v>
      </c>
      <c r="P64" s="16">
        <v>650</v>
      </c>
      <c r="Q64" s="16">
        <v>650</v>
      </c>
      <c r="R64" s="16">
        <v>3700</v>
      </c>
      <c r="S64" s="54">
        <f t="shared" si="1"/>
        <v>0.17567567567567569</v>
      </c>
    </row>
    <row r="65" spans="1:19" ht="21" customHeight="1" x14ac:dyDescent="0.3">
      <c r="A65" s="39">
        <f t="shared" si="2"/>
        <v>63</v>
      </c>
      <c r="B65" s="52" t="s">
        <v>227</v>
      </c>
      <c r="C65" s="53">
        <v>46095</v>
      </c>
      <c r="D65" s="47" t="s">
        <v>63</v>
      </c>
      <c r="E65" s="52" t="s">
        <v>228</v>
      </c>
      <c r="F65" s="30">
        <v>55380</v>
      </c>
      <c r="G65" s="30">
        <f t="shared" si="5"/>
        <v>8860.8000000000011</v>
      </c>
      <c r="H65" s="30">
        <f t="shared" si="6"/>
        <v>64240.800000000003</v>
      </c>
      <c r="I65" s="30" t="s">
        <v>15</v>
      </c>
      <c r="J65" s="53">
        <v>46112</v>
      </c>
      <c r="K65" s="47" t="s">
        <v>229</v>
      </c>
      <c r="L65" s="47" t="s">
        <v>212</v>
      </c>
      <c r="M65" s="47" t="s">
        <v>213</v>
      </c>
      <c r="O65" s="54">
        <f t="shared" si="0"/>
        <v>0.34994582881906827</v>
      </c>
      <c r="P65" s="55">
        <v>19380</v>
      </c>
      <c r="Q65" s="16">
        <v>3420</v>
      </c>
      <c r="R65" s="16">
        <v>58800</v>
      </c>
      <c r="S65" s="54">
        <f t="shared" si="1"/>
        <v>5.8163265306122446E-2</v>
      </c>
    </row>
    <row r="66" spans="1:19" ht="21" customHeight="1" x14ac:dyDescent="0.3">
      <c r="A66" s="39">
        <f t="shared" si="2"/>
        <v>64</v>
      </c>
      <c r="B66" s="52" t="s">
        <v>230</v>
      </c>
      <c r="C66" s="53">
        <v>46095</v>
      </c>
      <c r="D66" s="47" t="s">
        <v>63</v>
      </c>
      <c r="E66" s="52" t="s">
        <v>231</v>
      </c>
      <c r="F66" s="30">
        <v>4200</v>
      </c>
      <c r="G66" s="30">
        <f t="shared" si="5"/>
        <v>672</v>
      </c>
      <c r="H66" s="30">
        <f t="shared" si="6"/>
        <v>4872</v>
      </c>
      <c r="I66" s="30" t="s">
        <v>15</v>
      </c>
      <c r="J66" s="53">
        <v>46112</v>
      </c>
      <c r="K66" s="47" t="s">
        <v>232</v>
      </c>
      <c r="L66" s="47" t="s">
        <v>71</v>
      </c>
      <c r="M66" s="47" t="s">
        <v>220</v>
      </c>
      <c r="O66" s="54">
        <f t="shared" si="0"/>
        <v>0.14285714285714285</v>
      </c>
      <c r="P66" s="16">
        <v>600</v>
      </c>
      <c r="Q66" s="16">
        <v>600</v>
      </c>
      <c r="R66" s="16">
        <v>4800</v>
      </c>
      <c r="S66" s="54">
        <f t="shared" si="1"/>
        <v>0.125</v>
      </c>
    </row>
    <row r="67" spans="1:19" ht="21" customHeight="1" x14ac:dyDescent="0.3">
      <c r="A67" s="39">
        <f t="shared" si="2"/>
        <v>65</v>
      </c>
      <c r="B67" s="52" t="s">
        <v>233</v>
      </c>
      <c r="C67" s="53">
        <v>46099</v>
      </c>
      <c r="D67" s="47" t="s">
        <v>63</v>
      </c>
      <c r="E67" s="52" t="s">
        <v>234</v>
      </c>
      <c r="F67" s="30">
        <v>9040</v>
      </c>
      <c r="G67" s="30">
        <f t="shared" si="5"/>
        <v>1446.4</v>
      </c>
      <c r="H67" s="30">
        <f t="shared" si="6"/>
        <v>10486.4</v>
      </c>
      <c r="I67" s="30" t="s">
        <v>15</v>
      </c>
      <c r="J67" s="53">
        <v>46112</v>
      </c>
      <c r="K67" s="47" t="s">
        <v>235</v>
      </c>
      <c r="L67" s="47" t="s">
        <v>65</v>
      </c>
      <c r="M67" s="47" t="s">
        <v>236</v>
      </c>
      <c r="O67" s="54">
        <f t="shared" ref="O67:O91" si="9">P67/F67</f>
        <v>0.33628318584070799</v>
      </c>
      <c r="P67" s="16">
        <v>3040</v>
      </c>
      <c r="Q67" s="16">
        <v>760</v>
      </c>
      <c r="R67" s="16">
        <v>9800</v>
      </c>
      <c r="S67" s="54">
        <f t="shared" ref="S67:S91" si="10">Q67/R67</f>
        <v>7.7551020408163265E-2</v>
      </c>
    </row>
    <row r="68" spans="1:19" ht="21" customHeight="1" x14ac:dyDescent="0.3">
      <c r="A68" s="39">
        <f t="shared" ref="A68:A131" si="11">A67+1</f>
        <v>66</v>
      </c>
      <c r="B68" s="52" t="s">
        <v>237</v>
      </c>
      <c r="C68" s="53">
        <v>46099</v>
      </c>
      <c r="D68" s="47" t="s">
        <v>63</v>
      </c>
      <c r="E68" s="52" t="s">
        <v>238</v>
      </c>
      <c r="F68" s="30">
        <v>1050</v>
      </c>
      <c r="G68" s="30">
        <f t="shared" si="5"/>
        <v>168</v>
      </c>
      <c r="H68" s="30">
        <f t="shared" si="6"/>
        <v>1218</v>
      </c>
      <c r="I68" s="30" t="s">
        <v>15</v>
      </c>
      <c r="J68" s="53">
        <v>46112</v>
      </c>
      <c r="K68" s="47" t="s">
        <v>239</v>
      </c>
      <c r="L68" s="47" t="s">
        <v>71</v>
      </c>
      <c r="M68" s="47" t="s">
        <v>220</v>
      </c>
      <c r="O68" s="54">
        <f t="shared" si="9"/>
        <v>0.14285714285714285</v>
      </c>
      <c r="P68" s="16">
        <v>150</v>
      </c>
      <c r="Q68" s="16">
        <v>150</v>
      </c>
      <c r="R68" s="16">
        <v>1200</v>
      </c>
      <c r="S68" s="54">
        <f t="shared" si="10"/>
        <v>0.125</v>
      </c>
    </row>
    <row r="69" spans="1:19" ht="21" customHeight="1" x14ac:dyDescent="0.3">
      <c r="A69" s="39">
        <f t="shared" si="11"/>
        <v>67</v>
      </c>
      <c r="B69" s="52" t="s">
        <v>240</v>
      </c>
      <c r="C69" s="53">
        <v>46100</v>
      </c>
      <c r="D69" s="47" t="s">
        <v>63</v>
      </c>
      <c r="E69" s="52" t="s">
        <v>241</v>
      </c>
      <c r="F69" s="30">
        <v>1050</v>
      </c>
      <c r="G69" s="30">
        <f t="shared" si="5"/>
        <v>168</v>
      </c>
      <c r="H69" s="30">
        <f t="shared" si="6"/>
        <v>1218</v>
      </c>
      <c r="I69" s="30" t="s">
        <v>15</v>
      </c>
      <c r="J69" s="53">
        <v>46112</v>
      </c>
      <c r="K69" s="47" t="s">
        <v>242</v>
      </c>
      <c r="L69" s="47" t="s">
        <v>71</v>
      </c>
      <c r="M69" s="47" t="s">
        <v>220</v>
      </c>
      <c r="O69" s="54">
        <f t="shared" si="9"/>
        <v>0.14285714285714285</v>
      </c>
      <c r="P69" s="16">
        <v>150</v>
      </c>
      <c r="Q69" s="16">
        <v>150</v>
      </c>
      <c r="R69" s="16">
        <v>1200</v>
      </c>
      <c r="S69" s="54">
        <f t="shared" si="10"/>
        <v>0.125</v>
      </c>
    </row>
    <row r="70" spans="1:19" ht="21" customHeight="1" x14ac:dyDescent="0.3">
      <c r="A70" s="39">
        <f t="shared" si="11"/>
        <v>68</v>
      </c>
      <c r="B70" s="52" t="s">
        <v>243</v>
      </c>
      <c r="C70" s="53">
        <v>46100</v>
      </c>
      <c r="D70" s="47" t="s">
        <v>63</v>
      </c>
      <c r="E70" s="52" t="s">
        <v>244</v>
      </c>
      <c r="F70" s="30">
        <v>4710</v>
      </c>
      <c r="G70" s="30">
        <f t="shared" si="5"/>
        <v>753.6</v>
      </c>
      <c r="H70" s="30">
        <f t="shared" si="6"/>
        <v>5463.6</v>
      </c>
      <c r="I70" s="30" t="s">
        <v>15</v>
      </c>
      <c r="J70" s="53">
        <v>46112</v>
      </c>
      <c r="K70" s="47" t="s">
        <v>245</v>
      </c>
      <c r="L70" s="47" t="s">
        <v>246</v>
      </c>
      <c r="M70" s="47" t="s">
        <v>220</v>
      </c>
      <c r="O70" s="54">
        <f t="shared" si="9"/>
        <v>4.4585987261146494E-2</v>
      </c>
      <c r="P70" s="16">
        <v>210</v>
      </c>
      <c r="Q70" s="16">
        <v>90</v>
      </c>
      <c r="R70" s="16">
        <v>4800</v>
      </c>
      <c r="S70" s="54">
        <f t="shared" si="10"/>
        <v>1.8749999999999999E-2</v>
      </c>
    </row>
    <row r="71" spans="1:19" ht="21" customHeight="1" x14ac:dyDescent="0.3">
      <c r="A71" s="39">
        <f t="shared" si="11"/>
        <v>69</v>
      </c>
      <c r="B71" s="52" t="s">
        <v>247</v>
      </c>
      <c r="C71" s="53">
        <v>46100</v>
      </c>
      <c r="D71" s="47" t="s">
        <v>63</v>
      </c>
      <c r="E71" s="52" t="s">
        <v>248</v>
      </c>
      <c r="F71" s="30">
        <v>67150</v>
      </c>
      <c r="G71" s="30">
        <f t="shared" si="5"/>
        <v>10744</v>
      </c>
      <c r="H71" s="30">
        <f t="shared" si="6"/>
        <v>77894</v>
      </c>
      <c r="I71" s="30" t="s">
        <v>15</v>
      </c>
      <c r="J71" s="53">
        <v>46112</v>
      </c>
      <c r="K71" s="47" t="s">
        <v>249</v>
      </c>
      <c r="L71" s="47" t="s">
        <v>77</v>
      </c>
      <c r="M71" s="47" t="s">
        <v>220</v>
      </c>
      <c r="O71" s="54">
        <f t="shared" si="9"/>
        <v>4.6909903201787041E-2</v>
      </c>
      <c r="P71" s="16">
        <v>3150</v>
      </c>
      <c r="Q71" s="16">
        <v>1350</v>
      </c>
      <c r="R71" s="16">
        <v>68500</v>
      </c>
      <c r="S71" s="54">
        <f t="shared" si="10"/>
        <v>1.9708029197080291E-2</v>
      </c>
    </row>
    <row r="72" spans="1:19" ht="21" customHeight="1" x14ac:dyDescent="0.3">
      <c r="A72" s="39">
        <f t="shared" si="11"/>
        <v>70</v>
      </c>
      <c r="B72" s="52" t="s">
        <v>250</v>
      </c>
      <c r="C72" s="53">
        <v>46102</v>
      </c>
      <c r="D72" s="47" t="s">
        <v>63</v>
      </c>
      <c r="E72" s="52" t="s">
        <v>251</v>
      </c>
      <c r="F72" s="30">
        <v>61000</v>
      </c>
      <c r="G72" s="30">
        <f t="shared" si="5"/>
        <v>9760</v>
      </c>
      <c r="H72" s="30">
        <f>F72+G72</f>
        <v>70760</v>
      </c>
      <c r="I72" s="30" t="s">
        <v>15</v>
      </c>
      <c r="J72" s="53">
        <v>46127</v>
      </c>
      <c r="K72" s="47"/>
      <c r="L72" s="47" t="s">
        <v>77</v>
      </c>
      <c r="M72" s="47" t="s">
        <v>220</v>
      </c>
      <c r="O72" s="54">
        <f t="shared" si="9"/>
        <v>6.5573770491803282E-2</v>
      </c>
      <c r="P72" s="16">
        <v>4000</v>
      </c>
      <c r="Q72" s="16">
        <v>1000</v>
      </c>
      <c r="R72" s="16">
        <v>62000</v>
      </c>
      <c r="S72" s="54">
        <f t="shared" si="10"/>
        <v>1.6129032258064516E-2</v>
      </c>
    </row>
    <row r="73" spans="1:19" ht="21" customHeight="1" x14ac:dyDescent="0.3">
      <c r="A73" s="39">
        <f t="shared" si="11"/>
        <v>71</v>
      </c>
      <c r="B73" s="52" t="s">
        <v>252</v>
      </c>
      <c r="C73" s="53">
        <v>46108</v>
      </c>
      <c r="D73" s="47" t="s">
        <v>106</v>
      </c>
      <c r="E73" s="52"/>
      <c r="F73" s="30">
        <v>900</v>
      </c>
      <c r="G73" s="30">
        <f t="shared" si="5"/>
        <v>144</v>
      </c>
      <c r="H73" s="30">
        <f t="shared" si="6"/>
        <v>1044</v>
      </c>
      <c r="I73" s="30" t="s">
        <v>15</v>
      </c>
      <c r="J73" s="53">
        <v>46112</v>
      </c>
      <c r="K73" s="47" t="s">
        <v>150</v>
      </c>
      <c r="L73" s="47" t="s">
        <v>253</v>
      </c>
      <c r="M73" s="47" t="s">
        <v>253</v>
      </c>
      <c r="O73" s="54">
        <f t="shared" si="9"/>
        <v>1</v>
      </c>
      <c r="P73" s="16">
        <v>900</v>
      </c>
      <c r="Q73" s="16">
        <v>0</v>
      </c>
      <c r="R73" s="16">
        <v>0</v>
      </c>
      <c r="S73" s="54" t="e">
        <f t="shared" si="10"/>
        <v>#DIV/0!</v>
      </c>
    </row>
    <row r="74" spans="1:19" ht="21" customHeight="1" x14ac:dyDescent="0.3">
      <c r="A74" s="39">
        <f t="shared" si="11"/>
        <v>72</v>
      </c>
      <c r="B74" s="52" t="s">
        <v>254</v>
      </c>
      <c r="C74" s="53">
        <v>46111</v>
      </c>
      <c r="D74" s="47" t="s">
        <v>63</v>
      </c>
      <c r="E74" s="52" t="s">
        <v>255</v>
      </c>
      <c r="F74" s="30">
        <v>525</v>
      </c>
      <c r="G74" s="30">
        <f t="shared" si="5"/>
        <v>84</v>
      </c>
      <c r="H74" s="30">
        <f>F74+G74</f>
        <v>609</v>
      </c>
      <c r="I74" s="30" t="s">
        <v>15</v>
      </c>
      <c r="J74" s="53">
        <v>46127</v>
      </c>
      <c r="K74" s="47"/>
      <c r="L74" s="47" t="s">
        <v>71</v>
      </c>
      <c r="M74" s="47" t="s">
        <v>220</v>
      </c>
      <c r="O74" s="54">
        <f t="shared" si="9"/>
        <v>0.14285714285714285</v>
      </c>
      <c r="P74" s="16">
        <v>75</v>
      </c>
      <c r="Q74" s="16">
        <v>75</v>
      </c>
      <c r="R74" s="16">
        <v>600</v>
      </c>
      <c r="S74" s="54">
        <f t="shared" si="10"/>
        <v>0.125</v>
      </c>
    </row>
    <row r="75" spans="1:19" ht="21" customHeight="1" x14ac:dyDescent="0.3">
      <c r="A75" s="39">
        <f t="shared" si="11"/>
        <v>73</v>
      </c>
      <c r="B75" s="52" t="s">
        <v>256</v>
      </c>
      <c r="C75" s="53">
        <v>46111</v>
      </c>
      <c r="D75" s="47" t="s">
        <v>63</v>
      </c>
      <c r="E75" s="52" t="s">
        <v>257</v>
      </c>
      <c r="F75" s="30">
        <v>1050</v>
      </c>
      <c r="G75" s="30">
        <f t="shared" ref="G75:G138" si="12">F75*16%</f>
        <v>168</v>
      </c>
      <c r="H75" s="30">
        <f>F75+G75</f>
        <v>1218</v>
      </c>
      <c r="I75" s="30" t="s">
        <v>15</v>
      </c>
      <c r="J75" s="53">
        <v>46127</v>
      </c>
      <c r="K75" s="47"/>
      <c r="L75" s="47" t="s">
        <v>71</v>
      </c>
      <c r="M75" s="47" t="s">
        <v>220</v>
      </c>
      <c r="O75" s="54">
        <f t="shared" si="9"/>
        <v>0.14285714285714285</v>
      </c>
      <c r="P75" s="16">
        <v>150</v>
      </c>
      <c r="Q75" s="16">
        <v>150</v>
      </c>
      <c r="R75" s="16">
        <v>1200</v>
      </c>
      <c r="S75" s="54">
        <f t="shared" si="10"/>
        <v>0.125</v>
      </c>
    </row>
    <row r="76" spans="1:19" ht="21" customHeight="1" x14ac:dyDescent="0.3">
      <c r="A76" s="39">
        <f t="shared" si="11"/>
        <v>74</v>
      </c>
      <c r="B76" s="52" t="s">
        <v>258</v>
      </c>
      <c r="C76" s="53">
        <v>46120</v>
      </c>
      <c r="D76" s="47" t="s">
        <v>63</v>
      </c>
      <c r="E76" s="52" t="s">
        <v>259</v>
      </c>
      <c r="F76" s="30">
        <v>2550</v>
      </c>
      <c r="G76" s="30">
        <f t="shared" si="12"/>
        <v>408</v>
      </c>
      <c r="H76" s="30">
        <f>F76+G76</f>
        <v>2958</v>
      </c>
      <c r="I76" s="30" t="s">
        <v>15</v>
      </c>
      <c r="J76" s="53">
        <v>46127</v>
      </c>
      <c r="K76" s="47"/>
      <c r="L76" s="47" t="s">
        <v>65</v>
      </c>
      <c r="M76" s="47" t="s">
        <v>260</v>
      </c>
      <c r="O76" s="54">
        <f t="shared" si="9"/>
        <v>0.13725490196078433</v>
      </c>
      <c r="P76" s="16">
        <v>350</v>
      </c>
      <c r="Q76" s="16">
        <v>150</v>
      </c>
      <c r="R76" s="16">
        <v>2700</v>
      </c>
      <c r="S76" s="54">
        <f t="shared" si="10"/>
        <v>5.5555555555555552E-2</v>
      </c>
    </row>
    <row r="77" spans="1:19" ht="21" customHeight="1" x14ac:dyDescent="0.3">
      <c r="A77" s="39">
        <f t="shared" si="11"/>
        <v>75</v>
      </c>
      <c r="B77" s="52" t="s">
        <v>261</v>
      </c>
      <c r="C77" s="53">
        <v>46120</v>
      </c>
      <c r="D77" s="47" t="s">
        <v>63</v>
      </c>
      <c r="E77" s="52" t="s">
        <v>262</v>
      </c>
      <c r="F77" s="30">
        <v>98400</v>
      </c>
      <c r="G77" s="30">
        <f t="shared" si="12"/>
        <v>15744</v>
      </c>
      <c r="H77" s="30">
        <f t="shared" ref="H77:H79" si="13">F77+G77</f>
        <v>114144</v>
      </c>
      <c r="I77" s="30" t="s">
        <v>15</v>
      </c>
      <c r="J77" s="53">
        <v>46127</v>
      </c>
      <c r="K77" s="47"/>
      <c r="L77" s="47" t="s">
        <v>65</v>
      </c>
      <c r="M77" s="47" t="s">
        <v>260</v>
      </c>
      <c r="O77" s="54">
        <f t="shared" si="9"/>
        <v>0.35467479674796748</v>
      </c>
      <c r="P77" s="16">
        <v>34900</v>
      </c>
      <c r="Q77" s="16">
        <v>4500</v>
      </c>
      <c r="R77" s="16">
        <v>102900</v>
      </c>
      <c r="S77" s="54">
        <f t="shared" si="10"/>
        <v>4.3731778425655975E-2</v>
      </c>
    </row>
    <row r="78" spans="1:19" ht="21" customHeight="1" x14ac:dyDescent="0.3">
      <c r="A78" s="39">
        <f t="shared" si="11"/>
        <v>76</v>
      </c>
      <c r="B78" s="52" t="s">
        <v>263</v>
      </c>
      <c r="C78" s="53">
        <v>46120</v>
      </c>
      <c r="D78" s="47" t="s">
        <v>63</v>
      </c>
      <c r="E78" s="52" t="s">
        <v>264</v>
      </c>
      <c r="F78" s="30">
        <v>49800</v>
      </c>
      <c r="G78" s="30">
        <f t="shared" si="12"/>
        <v>7968</v>
      </c>
      <c r="H78" s="30">
        <f>F78+G78</f>
        <v>57768</v>
      </c>
      <c r="I78" s="30" t="s">
        <v>15</v>
      </c>
      <c r="J78" s="53">
        <v>46127</v>
      </c>
      <c r="K78" s="47"/>
      <c r="L78" s="47" t="s">
        <v>77</v>
      </c>
      <c r="M78" s="47" t="s">
        <v>220</v>
      </c>
      <c r="O78" s="54">
        <f t="shared" si="9"/>
        <v>0.15662650602409639</v>
      </c>
      <c r="P78" s="16">
        <v>7800</v>
      </c>
      <c r="Q78" s="16">
        <v>1200</v>
      </c>
      <c r="R78" s="16">
        <v>51000</v>
      </c>
      <c r="S78" s="54">
        <f t="shared" si="10"/>
        <v>2.3529411764705882E-2</v>
      </c>
    </row>
    <row r="79" spans="1:19" ht="21" customHeight="1" x14ac:dyDescent="0.3">
      <c r="A79" s="39">
        <f t="shared" si="11"/>
        <v>77</v>
      </c>
      <c r="B79" s="52" t="s">
        <v>265</v>
      </c>
      <c r="C79" s="53">
        <v>46120</v>
      </c>
      <c r="D79" s="47" t="s">
        <v>63</v>
      </c>
      <c r="E79" s="52" t="s">
        <v>266</v>
      </c>
      <c r="F79" s="30">
        <v>42000</v>
      </c>
      <c r="G79" s="30">
        <f t="shared" si="12"/>
        <v>6720</v>
      </c>
      <c r="H79" s="30">
        <f t="shared" si="13"/>
        <v>48720</v>
      </c>
      <c r="I79" s="30" t="s">
        <v>15</v>
      </c>
      <c r="J79" s="53">
        <v>46127</v>
      </c>
      <c r="K79" s="47"/>
      <c r="L79" s="47" t="s">
        <v>77</v>
      </c>
      <c r="M79" s="47" t="s">
        <v>260</v>
      </c>
      <c r="O79" s="54">
        <f t="shared" si="9"/>
        <v>0</v>
      </c>
      <c r="P79" s="16"/>
      <c r="Q79" s="16"/>
      <c r="R79" s="16">
        <v>42000</v>
      </c>
      <c r="S79" s="54">
        <f t="shared" si="10"/>
        <v>0</v>
      </c>
    </row>
    <row r="80" spans="1:19" ht="21" customHeight="1" x14ac:dyDescent="0.3">
      <c r="A80" s="39">
        <f t="shared" si="11"/>
        <v>78</v>
      </c>
      <c r="B80" s="52" t="s">
        <v>267</v>
      </c>
      <c r="C80" s="53">
        <v>46120</v>
      </c>
      <c r="D80" s="47" t="s">
        <v>63</v>
      </c>
      <c r="E80" s="52" t="s">
        <v>268</v>
      </c>
      <c r="F80" s="30">
        <v>61800</v>
      </c>
      <c r="G80" s="30">
        <f t="shared" si="12"/>
        <v>9888</v>
      </c>
      <c r="H80" s="30">
        <f>F80+G80</f>
        <v>71688</v>
      </c>
      <c r="I80" s="30" t="s">
        <v>15</v>
      </c>
      <c r="J80" s="53">
        <v>46127</v>
      </c>
      <c r="K80" s="47"/>
      <c r="L80" s="47" t="s">
        <v>77</v>
      </c>
      <c r="M80" s="47" t="s">
        <v>220</v>
      </c>
      <c r="O80" s="54">
        <f t="shared" si="9"/>
        <v>7.7669902912621352E-2</v>
      </c>
      <c r="P80" s="16">
        <v>4800</v>
      </c>
      <c r="Q80" s="16">
        <v>1200</v>
      </c>
      <c r="R80" s="16">
        <v>63000</v>
      </c>
      <c r="S80" s="54">
        <f t="shared" si="10"/>
        <v>1.9047619047619049E-2</v>
      </c>
    </row>
    <row r="81" spans="1:19" ht="21" customHeight="1" x14ac:dyDescent="0.3">
      <c r="A81" s="39">
        <f t="shared" si="11"/>
        <v>79</v>
      </c>
      <c r="B81" s="52" t="s">
        <v>269</v>
      </c>
      <c r="C81" s="53">
        <v>46120</v>
      </c>
      <c r="D81" s="47" t="s">
        <v>63</v>
      </c>
      <c r="E81" s="52" t="s">
        <v>270</v>
      </c>
      <c r="F81" s="30">
        <v>53800</v>
      </c>
      <c r="G81" s="30">
        <f t="shared" si="12"/>
        <v>8608</v>
      </c>
      <c r="H81" s="30">
        <f>F81+G81</f>
        <v>62408</v>
      </c>
      <c r="I81" s="30" t="s">
        <v>15</v>
      </c>
      <c r="J81" s="53">
        <v>46127</v>
      </c>
      <c r="K81" s="47"/>
      <c r="L81" s="47" t="s">
        <v>77</v>
      </c>
      <c r="M81" s="47" t="s">
        <v>220</v>
      </c>
      <c r="O81" s="54">
        <f t="shared" si="9"/>
        <v>0.1449814126394052</v>
      </c>
      <c r="P81" s="16">
        <v>7800</v>
      </c>
      <c r="Q81" s="16">
        <v>1200</v>
      </c>
      <c r="R81" s="16">
        <v>55000</v>
      </c>
      <c r="S81" s="54">
        <f t="shared" si="10"/>
        <v>2.181818181818182E-2</v>
      </c>
    </row>
    <row r="82" spans="1:19" ht="21" customHeight="1" x14ac:dyDescent="0.3">
      <c r="A82" s="39">
        <f t="shared" si="11"/>
        <v>80</v>
      </c>
      <c r="B82" s="52" t="s">
        <v>271</v>
      </c>
      <c r="C82" s="53">
        <v>46120</v>
      </c>
      <c r="D82" s="47" t="s">
        <v>63</v>
      </c>
      <c r="E82" s="52" t="s">
        <v>272</v>
      </c>
      <c r="F82" s="30">
        <v>7350</v>
      </c>
      <c r="G82" s="30">
        <f t="shared" si="12"/>
        <v>1176</v>
      </c>
      <c r="H82" s="30">
        <f t="shared" ref="H82:H124" si="14">F82+G82</f>
        <v>8526</v>
      </c>
      <c r="I82" s="30" t="s">
        <v>15</v>
      </c>
      <c r="J82" s="53">
        <v>46127</v>
      </c>
      <c r="K82" s="47"/>
      <c r="L82" s="47" t="s">
        <v>71</v>
      </c>
      <c r="M82" s="47" t="s">
        <v>220</v>
      </c>
      <c r="O82" s="54">
        <f t="shared" si="9"/>
        <v>0.14285714285714285</v>
      </c>
      <c r="P82" s="16">
        <v>1050</v>
      </c>
      <c r="Q82" s="16">
        <v>1050</v>
      </c>
      <c r="R82" s="16">
        <v>8400</v>
      </c>
      <c r="S82" s="54">
        <f t="shared" si="10"/>
        <v>0.125</v>
      </c>
    </row>
    <row r="83" spans="1:19" ht="21" customHeight="1" x14ac:dyDescent="0.3">
      <c r="A83" s="39">
        <f t="shared" si="11"/>
        <v>81</v>
      </c>
      <c r="B83" s="52" t="s">
        <v>273</v>
      </c>
      <c r="C83" s="53">
        <v>46120</v>
      </c>
      <c r="D83" s="47" t="s">
        <v>63</v>
      </c>
      <c r="E83" s="52" t="s">
        <v>274</v>
      </c>
      <c r="F83" s="30">
        <v>3675</v>
      </c>
      <c r="G83" s="30">
        <f t="shared" si="12"/>
        <v>588</v>
      </c>
      <c r="H83" s="30">
        <f t="shared" si="14"/>
        <v>4263</v>
      </c>
      <c r="I83" s="30" t="s">
        <v>15</v>
      </c>
      <c r="J83" s="53">
        <v>46127</v>
      </c>
      <c r="K83" s="47"/>
      <c r="L83" s="47" t="s">
        <v>71</v>
      </c>
      <c r="M83" s="47" t="s">
        <v>220</v>
      </c>
      <c r="O83" s="54">
        <f t="shared" si="9"/>
        <v>0.14285714285714285</v>
      </c>
      <c r="P83" s="16">
        <v>525</v>
      </c>
      <c r="Q83" s="16">
        <v>525</v>
      </c>
      <c r="R83" s="16">
        <v>4200</v>
      </c>
      <c r="S83" s="54">
        <f t="shared" si="10"/>
        <v>0.125</v>
      </c>
    </row>
    <row r="84" spans="1:19" ht="21" customHeight="1" x14ac:dyDescent="0.3">
      <c r="A84" s="39">
        <f t="shared" si="11"/>
        <v>82</v>
      </c>
      <c r="B84" s="66" t="s">
        <v>275</v>
      </c>
      <c r="C84" s="53">
        <v>46125</v>
      </c>
      <c r="D84" s="47" t="s">
        <v>106</v>
      </c>
      <c r="E84" s="52" t="s">
        <v>150</v>
      </c>
      <c r="F84" s="30">
        <v>3225</v>
      </c>
      <c r="G84" s="30">
        <f t="shared" si="12"/>
        <v>516</v>
      </c>
      <c r="H84" s="30">
        <f t="shared" si="14"/>
        <v>3741</v>
      </c>
      <c r="I84" s="30" t="s">
        <v>276</v>
      </c>
      <c r="J84" s="53"/>
      <c r="K84" s="47" t="s">
        <v>150</v>
      </c>
      <c r="L84" s="47" t="s">
        <v>253</v>
      </c>
      <c r="M84" s="47" t="s">
        <v>253</v>
      </c>
      <c r="O84" s="54">
        <f t="shared" si="9"/>
        <v>1</v>
      </c>
      <c r="P84" s="16">
        <v>3225</v>
      </c>
      <c r="Q84" s="16">
        <v>0</v>
      </c>
      <c r="R84" s="16">
        <v>0</v>
      </c>
      <c r="S84" s="54">
        <v>0</v>
      </c>
    </row>
    <row r="85" spans="1:19" ht="21" customHeight="1" x14ac:dyDescent="0.3">
      <c r="A85" s="39">
        <f t="shared" si="11"/>
        <v>83</v>
      </c>
      <c r="B85" s="66" t="s">
        <v>277</v>
      </c>
      <c r="C85" s="53">
        <v>46126</v>
      </c>
      <c r="D85" s="47" t="s">
        <v>63</v>
      </c>
      <c r="E85" s="52" t="s">
        <v>278</v>
      </c>
      <c r="F85" s="30">
        <v>525</v>
      </c>
      <c r="G85" s="30">
        <f t="shared" si="12"/>
        <v>84</v>
      </c>
      <c r="H85" s="30">
        <f t="shared" si="14"/>
        <v>609</v>
      </c>
      <c r="I85" s="30" t="s">
        <v>15</v>
      </c>
      <c r="J85" s="53">
        <v>46142</v>
      </c>
      <c r="K85" s="47"/>
      <c r="L85" s="47" t="s">
        <v>71</v>
      </c>
      <c r="M85" s="47" t="s">
        <v>220</v>
      </c>
      <c r="O85" s="54">
        <f t="shared" si="9"/>
        <v>0</v>
      </c>
      <c r="P85" s="16"/>
      <c r="Q85" s="16"/>
      <c r="R85" s="16"/>
      <c r="S85" s="54" t="e">
        <f t="shared" ref="S85:S87" si="15">Q85/R85</f>
        <v>#DIV/0!</v>
      </c>
    </row>
    <row r="86" spans="1:19" ht="21" customHeight="1" x14ac:dyDescent="0.3">
      <c r="A86" s="39">
        <f t="shared" si="11"/>
        <v>84</v>
      </c>
      <c r="B86" s="66" t="s">
        <v>279</v>
      </c>
      <c r="C86" s="53">
        <v>46126</v>
      </c>
      <c r="D86" s="47" t="s">
        <v>63</v>
      </c>
      <c r="E86" s="52" t="s">
        <v>280</v>
      </c>
      <c r="F86" s="30">
        <v>600</v>
      </c>
      <c r="G86" s="30">
        <f t="shared" si="12"/>
        <v>96</v>
      </c>
      <c r="H86" s="30">
        <f t="shared" si="14"/>
        <v>696</v>
      </c>
      <c r="I86" s="30" t="s">
        <v>15</v>
      </c>
      <c r="J86" s="53">
        <v>46142</v>
      </c>
      <c r="K86" s="47"/>
      <c r="L86" s="47" t="s">
        <v>71</v>
      </c>
      <c r="M86" s="47" t="s">
        <v>260</v>
      </c>
      <c r="O86" s="54">
        <f t="shared" si="9"/>
        <v>0</v>
      </c>
      <c r="P86" s="16">
        <v>0</v>
      </c>
      <c r="Q86" s="16">
        <v>0</v>
      </c>
      <c r="R86" s="16">
        <v>600</v>
      </c>
      <c r="S86" s="54">
        <f t="shared" si="15"/>
        <v>0</v>
      </c>
    </row>
    <row r="87" spans="1:19" ht="21" customHeight="1" x14ac:dyDescent="0.3">
      <c r="A87" s="39">
        <f t="shared" si="11"/>
        <v>85</v>
      </c>
      <c r="B87" s="66" t="s">
        <v>281</v>
      </c>
      <c r="C87" s="53">
        <v>46126</v>
      </c>
      <c r="D87" s="47" t="s">
        <v>63</v>
      </c>
      <c r="E87" s="52" t="s">
        <v>282</v>
      </c>
      <c r="F87" s="30">
        <v>1475</v>
      </c>
      <c r="G87" s="30">
        <f t="shared" si="12"/>
        <v>236</v>
      </c>
      <c r="H87" s="30">
        <f t="shared" si="14"/>
        <v>1711</v>
      </c>
      <c r="I87" s="30" t="s">
        <v>15</v>
      </c>
      <c r="J87" s="53">
        <v>46142</v>
      </c>
      <c r="K87" s="47"/>
      <c r="L87" s="47" t="s">
        <v>71</v>
      </c>
      <c r="M87" s="47" t="s">
        <v>220</v>
      </c>
      <c r="O87" s="54">
        <f t="shared" si="9"/>
        <v>0.28813559322033899</v>
      </c>
      <c r="P87" s="16">
        <v>425</v>
      </c>
      <c r="Q87" s="16">
        <v>425</v>
      </c>
      <c r="R87" s="16">
        <v>1900</v>
      </c>
      <c r="S87" s="54">
        <f t="shared" si="15"/>
        <v>0.22368421052631579</v>
      </c>
    </row>
    <row r="88" spans="1:19" ht="21" customHeight="1" x14ac:dyDescent="0.3">
      <c r="A88" s="39">
        <f t="shared" si="11"/>
        <v>86</v>
      </c>
      <c r="B88" s="66" t="s">
        <v>283</v>
      </c>
      <c r="C88" s="53">
        <v>46126</v>
      </c>
      <c r="D88" s="47" t="s">
        <v>63</v>
      </c>
      <c r="E88" s="52" t="s">
        <v>284</v>
      </c>
      <c r="F88" s="30">
        <v>9830</v>
      </c>
      <c r="G88" s="30">
        <f t="shared" si="12"/>
        <v>1572.8</v>
      </c>
      <c r="H88" s="30">
        <f t="shared" si="14"/>
        <v>11402.8</v>
      </c>
      <c r="I88" s="30" t="s">
        <v>15</v>
      </c>
      <c r="J88" s="53">
        <v>46142</v>
      </c>
      <c r="K88" s="47"/>
      <c r="L88" s="47" t="s">
        <v>77</v>
      </c>
      <c r="M88" s="47" t="s">
        <v>260</v>
      </c>
      <c r="O88" s="54">
        <f t="shared" si="9"/>
        <v>0.2777212614445575</v>
      </c>
      <c r="P88" s="16">
        <v>2730</v>
      </c>
      <c r="Q88" s="16">
        <v>1170</v>
      </c>
      <c r="R88" s="16">
        <v>11000</v>
      </c>
      <c r="S88" s="54">
        <f t="shared" si="10"/>
        <v>0.10636363636363637</v>
      </c>
    </row>
    <row r="89" spans="1:19" ht="21" customHeight="1" x14ac:dyDescent="0.3">
      <c r="A89" s="39">
        <f t="shared" si="11"/>
        <v>87</v>
      </c>
      <c r="B89" s="52" t="s">
        <v>285</v>
      </c>
      <c r="C89" s="53">
        <v>46129</v>
      </c>
      <c r="D89" s="47" t="s">
        <v>63</v>
      </c>
      <c r="E89" s="52" t="s">
        <v>286</v>
      </c>
      <c r="F89" s="30">
        <v>5200</v>
      </c>
      <c r="G89" s="30">
        <f t="shared" si="12"/>
        <v>832</v>
      </c>
      <c r="H89" s="30">
        <f t="shared" si="14"/>
        <v>6032</v>
      </c>
      <c r="I89" s="30" t="s">
        <v>15</v>
      </c>
      <c r="J89" s="53">
        <v>46142</v>
      </c>
      <c r="K89" s="47"/>
      <c r="L89" s="47" t="s">
        <v>65</v>
      </c>
      <c r="M89" s="47" t="s">
        <v>260</v>
      </c>
      <c r="O89" s="54">
        <f t="shared" si="9"/>
        <v>0.13461538461538461</v>
      </c>
      <c r="P89" s="16">
        <v>700</v>
      </c>
      <c r="Q89" s="16">
        <v>300</v>
      </c>
      <c r="R89" s="16">
        <v>5500</v>
      </c>
      <c r="S89" s="54">
        <f t="shared" si="10"/>
        <v>5.4545454545454543E-2</v>
      </c>
    </row>
    <row r="90" spans="1:19" ht="21" customHeight="1" x14ac:dyDescent="0.3">
      <c r="A90" s="39">
        <f t="shared" si="11"/>
        <v>88</v>
      </c>
      <c r="B90" s="52" t="s">
        <v>287</v>
      </c>
      <c r="C90" s="53">
        <v>46129</v>
      </c>
      <c r="D90" s="47" t="s">
        <v>63</v>
      </c>
      <c r="E90" s="52" t="s">
        <v>288</v>
      </c>
      <c r="F90" s="30">
        <v>18080</v>
      </c>
      <c r="G90" s="30">
        <f t="shared" si="12"/>
        <v>2892.8</v>
      </c>
      <c r="H90" s="30">
        <f t="shared" si="14"/>
        <v>20972.799999999999</v>
      </c>
      <c r="I90" s="30" t="s">
        <v>15</v>
      </c>
      <c r="J90" s="53">
        <v>46142</v>
      </c>
      <c r="K90" s="47"/>
      <c r="L90" s="47" t="s">
        <v>65</v>
      </c>
      <c r="M90" s="47" t="s">
        <v>260</v>
      </c>
      <c r="O90" s="54">
        <f t="shared" si="9"/>
        <v>0.33517699115044247</v>
      </c>
      <c r="P90" s="16">
        <v>6060</v>
      </c>
      <c r="Q90" s="16">
        <v>1520</v>
      </c>
      <c r="R90" s="16">
        <v>19600</v>
      </c>
      <c r="S90" s="54">
        <f t="shared" si="10"/>
        <v>7.7551020408163265E-2</v>
      </c>
    </row>
    <row r="91" spans="1:19" ht="21" customHeight="1" x14ac:dyDescent="0.3">
      <c r="A91" s="39">
        <f t="shared" si="11"/>
        <v>89</v>
      </c>
      <c r="B91" s="52" t="s">
        <v>289</v>
      </c>
      <c r="C91" s="53">
        <v>46129</v>
      </c>
      <c r="D91" s="47" t="s">
        <v>63</v>
      </c>
      <c r="E91" s="52" t="s">
        <v>290</v>
      </c>
      <c r="F91" s="30">
        <v>44800</v>
      </c>
      <c r="G91" s="30">
        <f t="shared" si="12"/>
        <v>7168</v>
      </c>
      <c r="H91" s="30">
        <f t="shared" si="14"/>
        <v>51968</v>
      </c>
      <c r="I91" s="30" t="s">
        <v>15</v>
      </c>
      <c r="J91" s="53">
        <v>46142</v>
      </c>
      <c r="K91" s="47"/>
      <c r="L91" s="47" t="s">
        <v>77</v>
      </c>
      <c r="M91" s="47" t="s">
        <v>220</v>
      </c>
      <c r="O91" s="54">
        <f t="shared" si="9"/>
        <v>0.10714285714285714</v>
      </c>
      <c r="P91" s="16">
        <v>4800</v>
      </c>
      <c r="Q91" s="16">
        <v>1200</v>
      </c>
      <c r="R91" s="16">
        <v>46000</v>
      </c>
      <c r="S91" s="54">
        <f t="shared" si="10"/>
        <v>2.6086956521739129E-2</v>
      </c>
    </row>
    <row r="92" spans="1:19" ht="21" customHeight="1" x14ac:dyDescent="0.3">
      <c r="A92" s="39">
        <f t="shared" si="11"/>
        <v>90</v>
      </c>
      <c r="B92" s="67" t="s">
        <v>291</v>
      </c>
      <c r="C92" s="68">
        <v>46129</v>
      </c>
      <c r="D92" s="69" t="s">
        <v>112</v>
      </c>
      <c r="E92" s="67" t="s">
        <v>292</v>
      </c>
      <c r="F92" s="70">
        <v>0</v>
      </c>
      <c r="G92" s="70">
        <f t="shared" si="12"/>
        <v>0</v>
      </c>
      <c r="H92" s="70">
        <f t="shared" si="14"/>
        <v>0</v>
      </c>
      <c r="I92" s="70" t="s">
        <v>33</v>
      </c>
      <c r="J92" s="68">
        <v>46142</v>
      </c>
      <c r="K92" s="69"/>
      <c r="L92" s="69" t="s">
        <v>77</v>
      </c>
      <c r="M92" s="69" t="s">
        <v>220</v>
      </c>
      <c r="O92" s="71">
        <v>0</v>
      </c>
      <c r="P92" s="70">
        <v>0</v>
      </c>
      <c r="Q92" s="70">
        <v>0</v>
      </c>
      <c r="R92" s="70">
        <v>0</v>
      </c>
      <c r="S92" s="71">
        <v>0</v>
      </c>
    </row>
    <row r="93" spans="1:19" ht="21" customHeight="1" x14ac:dyDescent="0.3">
      <c r="A93" s="39">
        <f t="shared" si="11"/>
        <v>91</v>
      </c>
      <c r="B93" s="52" t="s">
        <v>293</v>
      </c>
      <c r="C93" s="53">
        <v>46130</v>
      </c>
      <c r="D93" s="47" t="s">
        <v>63</v>
      </c>
      <c r="E93" s="52" t="s">
        <v>292</v>
      </c>
      <c r="F93" s="30">
        <v>71400</v>
      </c>
      <c r="G93" s="30">
        <f t="shared" si="12"/>
        <v>11424</v>
      </c>
      <c r="H93" s="30">
        <f t="shared" si="14"/>
        <v>82824</v>
      </c>
      <c r="I93" s="30" t="s">
        <v>15</v>
      </c>
      <c r="J93" s="53">
        <v>46142</v>
      </c>
      <c r="K93" s="47"/>
      <c r="L93" s="47" t="s">
        <v>77</v>
      </c>
      <c r="M93" s="47" t="s">
        <v>220</v>
      </c>
      <c r="O93" s="54">
        <f t="shared" ref="O93:O156" si="16">P93/F93</f>
        <v>8.9635854341736695E-2</v>
      </c>
      <c r="P93" s="16">
        <v>6400</v>
      </c>
      <c r="Q93" s="16">
        <v>1600</v>
      </c>
      <c r="R93" s="16">
        <v>72000</v>
      </c>
      <c r="S93" s="54">
        <f t="shared" ref="S93:S152" si="17">Q93/R93</f>
        <v>2.2222222222222223E-2</v>
      </c>
    </row>
    <row r="94" spans="1:19" ht="21" customHeight="1" x14ac:dyDescent="0.3">
      <c r="A94" s="39">
        <f t="shared" si="11"/>
        <v>92</v>
      </c>
      <c r="B94" s="66" t="s">
        <v>294</v>
      </c>
      <c r="C94" s="72">
        <v>46132</v>
      </c>
      <c r="D94" s="73" t="s">
        <v>63</v>
      </c>
      <c r="E94" s="66" t="s">
        <v>295</v>
      </c>
      <c r="F94" s="74">
        <v>2100</v>
      </c>
      <c r="G94" s="74">
        <f t="shared" si="12"/>
        <v>336</v>
      </c>
      <c r="H94" s="74">
        <f t="shared" si="14"/>
        <v>2436</v>
      </c>
      <c r="I94" s="74" t="s">
        <v>15</v>
      </c>
      <c r="J94" s="72">
        <v>46157</v>
      </c>
      <c r="K94" s="73"/>
      <c r="L94" s="73" t="s">
        <v>71</v>
      </c>
      <c r="M94" s="73" t="s">
        <v>220</v>
      </c>
      <c r="O94" s="54">
        <f t="shared" si="16"/>
        <v>0.14285714285714285</v>
      </c>
      <c r="P94" s="16">
        <v>300</v>
      </c>
      <c r="Q94" s="16">
        <v>300</v>
      </c>
      <c r="R94" s="16">
        <v>2400</v>
      </c>
      <c r="S94" s="54">
        <f t="shared" si="17"/>
        <v>0.125</v>
      </c>
    </row>
    <row r="95" spans="1:19" ht="21" customHeight="1" x14ac:dyDescent="0.3">
      <c r="A95" s="39">
        <f t="shared" si="11"/>
        <v>93</v>
      </c>
      <c r="B95" s="66" t="s">
        <v>296</v>
      </c>
      <c r="C95" s="72">
        <v>46132</v>
      </c>
      <c r="D95" s="73" t="s">
        <v>63</v>
      </c>
      <c r="E95" s="66" t="s">
        <v>297</v>
      </c>
      <c r="F95" s="74">
        <v>950</v>
      </c>
      <c r="G95" s="74">
        <f t="shared" si="12"/>
        <v>152</v>
      </c>
      <c r="H95" s="74">
        <f t="shared" si="14"/>
        <v>1102</v>
      </c>
      <c r="I95" s="74" t="s">
        <v>15</v>
      </c>
      <c r="J95" s="72">
        <v>46157</v>
      </c>
      <c r="K95" s="73"/>
      <c r="L95" s="73" t="s">
        <v>71</v>
      </c>
      <c r="M95" s="73" t="s">
        <v>220</v>
      </c>
      <c r="O95" s="54">
        <f t="shared" si="16"/>
        <v>0.36842105263157893</v>
      </c>
      <c r="P95" s="16">
        <v>350</v>
      </c>
      <c r="Q95" s="16">
        <v>350</v>
      </c>
      <c r="R95" s="16">
        <v>1300</v>
      </c>
      <c r="S95" s="54">
        <f t="shared" si="17"/>
        <v>0.26923076923076922</v>
      </c>
    </row>
    <row r="96" spans="1:19" ht="21" customHeight="1" x14ac:dyDescent="0.3">
      <c r="A96" s="39">
        <f t="shared" si="11"/>
        <v>94</v>
      </c>
      <c r="B96" s="52" t="s">
        <v>298</v>
      </c>
      <c r="C96" s="53">
        <v>46140</v>
      </c>
      <c r="D96" s="47" t="s">
        <v>220</v>
      </c>
      <c r="E96" s="52" t="s">
        <v>150</v>
      </c>
      <c r="F96" s="30">
        <v>3000</v>
      </c>
      <c r="G96" s="30">
        <f t="shared" si="12"/>
        <v>480</v>
      </c>
      <c r="H96" s="30">
        <f t="shared" si="14"/>
        <v>3480</v>
      </c>
      <c r="I96" s="30" t="s">
        <v>15</v>
      </c>
      <c r="J96" s="53">
        <v>46142</v>
      </c>
      <c r="K96" s="47"/>
      <c r="L96" s="47" t="s">
        <v>299</v>
      </c>
      <c r="M96" s="47" t="s">
        <v>150</v>
      </c>
      <c r="O96" s="54">
        <f t="shared" si="16"/>
        <v>1</v>
      </c>
      <c r="P96" s="16">
        <v>3000</v>
      </c>
      <c r="Q96" s="16">
        <v>0</v>
      </c>
      <c r="R96" s="16">
        <v>0</v>
      </c>
      <c r="S96" s="54" t="e">
        <f t="shared" si="17"/>
        <v>#DIV/0!</v>
      </c>
    </row>
    <row r="97" spans="1:19" ht="21" customHeight="1" x14ac:dyDescent="0.3">
      <c r="A97" s="39">
        <f t="shared" si="11"/>
        <v>95</v>
      </c>
      <c r="B97" s="52" t="s">
        <v>300</v>
      </c>
      <c r="C97" s="53">
        <v>46140</v>
      </c>
      <c r="D97" s="47" t="s">
        <v>63</v>
      </c>
      <c r="E97" s="52" t="s">
        <v>301</v>
      </c>
      <c r="F97" s="30">
        <v>38800</v>
      </c>
      <c r="G97" s="30">
        <f t="shared" si="12"/>
        <v>6208</v>
      </c>
      <c r="H97" s="30">
        <f t="shared" si="14"/>
        <v>45008</v>
      </c>
      <c r="I97" s="30" t="s">
        <v>15</v>
      </c>
      <c r="J97" s="72">
        <v>46157</v>
      </c>
      <c r="K97" s="47"/>
      <c r="L97" s="47" t="s">
        <v>299</v>
      </c>
      <c r="M97" s="47" t="s">
        <v>150</v>
      </c>
      <c r="O97" s="54">
        <f t="shared" si="16"/>
        <v>0.12371134020618557</v>
      </c>
      <c r="P97" s="16">
        <v>4800</v>
      </c>
      <c r="Q97" s="16">
        <v>1200</v>
      </c>
      <c r="R97" s="16">
        <v>40000</v>
      </c>
      <c r="S97" s="54">
        <f t="shared" si="17"/>
        <v>0.03</v>
      </c>
    </row>
    <row r="98" spans="1:19" ht="21" customHeight="1" x14ac:dyDescent="0.3">
      <c r="A98" s="39">
        <f t="shared" si="11"/>
        <v>96</v>
      </c>
      <c r="B98" s="52" t="s">
        <v>302</v>
      </c>
      <c r="C98" s="53">
        <v>46140</v>
      </c>
      <c r="D98" s="47" t="s">
        <v>106</v>
      </c>
      <c r="E98" s="52" t="s">
        <v>150</v>
      </c>
      <c r="F98" s="30">
        <v>500</v>
      </c>
      <c r="G98" s="30">
        <f t="shared" si="12"/>
        <v>80</v>
      </c>
      <c r="H98" s="30">
        <f t="shared" si="14"/>
        <v>580</v>
      </c>
      <c r="I98" s="30" t="s">
        <v>15</v>
      </c>
      <c r="J98" s="53">
        <v>46157</v>
      </c>
      <c r="K98" s="47"/>
      <c r="L98" s="47" t="s">
        <v>299</v>
      </c>
      <c r="M98" s="47" t="s">
        <v>150</v>
      </c>
      <c r="O98" s="54">
        <f t="shared" si="16"/>
        <v>1</v>
      </c>
      <c r="P98" s="16">
        <v>500</v>
      </c>
      <c r="Q98" s="16">
        <v>0</v>
      </c>
      <c r="R98" s="16">
        <v>0</v>
      </c>
      <c r="S98" s="54" t="e">
        <f t="shared" si="17"/>
        <v>#DIV/0!</v>
      </c>
    </row>
    <row r="99" spans="1:19" ht="21" customHeight="1" x14ac:dyDescent="0.3">
      <c r="A99" s="39">
        <f t="shared" si="11"/>
        <v>97</v>
      </c>
      <c r="B99" s="52" t="s">
        <v>303</v>
      </c>
      <c r="C99" s="53">
        <v>46146</v>
      </c>
      <c r="D99" s="47" t="s">
        <v>63</v>
      </c>
      <c r="E99" s="52" t="s">
        <v>304</v>
      </c>
      <c r="F99" s="30">
        <v>41750</v>
      </c>
      <c r="G99" s="30">
        <f t="shared" si="12"/>
        <v>6680</v>
      </c>
      <c r="H99" s="30">
        <f t="shared" si="14"/>
        <v>48430</v>
      </c>
      <c r="I99" s="30" t="s">
        <v>15</v>
      </c>
      <c r="J99" s="53">
        <v>46157</v>
      </c>
      <c r="K99" s="47"/>
      <c r="L99" s="47" t="s">
        <v>77</v>
      </c>
      <c r="M99" s="47" t="s">
        <v>220</v>
      </c>
      <c r="O99" s="54">
        <f t="shared" si="16"/>
        <v>4.1916167664670656E-2</v>
      </c>
      <c r="P99" s="16">
        <v>1750</v>
      </c>
      <c r="Q99" s="16">
        <v>750</v>
      </c>
      <c r="R99" s="16">
        <v>42500</v>
      </c>
      <c r="S99" s="54">
        <f t="shared" si="17"/>
        <v>1.7647058823529412E-2</v>
      </c>
    </row>
    <row r="100" spans="1:19" ht="21" customHeight="1" x14ac:dyDescent="0.3">
      <c r="A100" s="39">
        <f t="shared" si="11"/>
        <v>98</v>
      </c>
      <c r="B100" s="52" t="s">
        <v>305</v>
      </c>
      <c r="C100" s="53">
        <v>46146</v>
      </c>
      <c r="D100" s="47" t="s">
        <v>63</v>
      </c>
      <c r="E100" s="52" t="s">
        <v>306</v>
      </c>
      <c r="F100" s="30">
        <v>65800</v>
      </c>
      <c r="G100" s="30">
        <f t="shared" si="12"/>
        <v>10528</v>
      </c>
      <c r="H100" s="30">
        <f t="shared" si="14"/>
        <v>76328</v>
      </c>
      <c r="I100" s="30" t="s">
        <v>15</v>
      </c>
      <c r="J100" s="53">
        <v>46157</v>
      </c>
      <c r="K100" s="47"/>
      <c r="L100" s="47" t="s">
        <v>77</v>
      </c>
      <c r="M100" s="47" t="s">
        <v>220</v>
      </c>
      <c r="O100" s="54">
        <f t="shared" si="16"/>
        <v>1.82370820668693E-2</v>
      </c>
      <c r="P100" s="16">
        <v>1200</v>
      </c>
      <c r="Q100" s="16">
        <v>4800</v>
      </c>
      <c r="R100" s="16">
        <v>67000</v>
      </c>
      <c r="S100" s="54">
        <f t="shared" si="17"/>
        <v>7.1641791044776124E-2</v>
      </c>
    </row>
    <row r="101" spans="1:19" ht="21" customHeight="1" x14ac:dyDescent="0.3">
      <c r="A101" s="39">
        <f t="shared" si="11"/>
        <v>99</v>
      </c>
      <c r="B101" s="52" t="s">
        <v>307</v>
      </c>
      <c r="C101" s="53">
        <v>46146</v>
      </c>
      <c r="D101" s="47" t="s">
        <v>63</v>
      </c>
      <c r="E101" s="52" t="s">
        <v>308</v>
      </c>
      <c r="F101" s="30">
        <v>46300</v>
      </c>
      <c r="G101" s="30">
        <f t="shared" si="12"/>
        <v>7408</v>
      </c>
      <c r="H101" s="30">
        <f t="shared" si="14"/>
        <v>53708</v>
      </c>
      <c r="I101" s="30" t="s">
        <v>15</v>
      </c>
      <c r="J101" s="53">
        <v>46157</v>
      </c>
      <c r="K101" s="47"/>
      <c r="L101" s="47" t="s">
        <v>65</v>
      </c>
      <c r="M101" s="47" t="s">
        <v>260</v>
      </c>
      <c r="O101" s="54">
        <f t="shared" si="16"/>
        <v>2.591792656587473E-2</v>
      </c>
      <c r="P101" s="16">
        <v>1200</v>
      </c>
      <c r="Q101" s="16">
        <v>2800</v>
      </c>
      <c r="R101" s="16">
        <v>47500</v>
      </c>
      <c r="S101" s="54">
        <f t="shared" si="17"/>
        <v>5.894736842105263E-2</v>
      </c>
    </row>
    <row r="102" spans="1:19" ht="21" customHeight="1" x14ac:dyDescent="0.3">
      <c r="A102" s="39">
        <f t="shared" si="11"/>
        <v>100</v>
      </c>
      <c r="B102" s="52" t="s">
        <v>309</v>
      </c>
      <c r="C102" s="53">
        <v>46146</v>
      </c>
      <c r="D102" s="47" t="s">
        <v>63</v>
      </c>
      <c r="E102" s="52" t="s">
        <v>310</v>
      </c>
      <c r="F102" s="30">
        <v>525</v>
      </c>
      <c r="G102" s="30">
        <f t="shared" si="12"/>
        <v>84</v>
      </c>
      <c r="H102" s="30">
        <f t="shared" si="14"/>
        <v>609</v>
      </c>
      <c r="I102" s="30" t="s">
        <v>15</v>
      </c>
      <c r="J102" s="53">
        <v>46157</v>
      </c>
      <c r="K102" s="47"/>
      <c r="L102" s="47" t="s">
        <v>71</v>
      </c>
      <c r="M102" s="47" t="s">
        <v>260</v>
      </c>
      <c r="O102" s="54">
        <f t="shared" si="16"/>
        <v>0.7142857142857143</v>
      </c>
      <c r="P102" s="16">
        <v>375</v>
      </c>
      <c r="Q102" s="16">
        <v>75</v>
      </c>
      <c r="R102" s="16">
        <v>600</v>
      </c>
      <c r="S102" s="54">
        <f t="shared" si="17"/>
        <v>0.125</v>
      </c>
    </row>
    <row r="103" spans="1:19" ht="21" customHeight="1" x14ac:dyDescent="0.3">
      <c r="A103" s="39">
        <f t="shared" si="11"/>
        <v>101</v>
      </c>
      <c r="B103" s="52" t="s">
        <v>311</v>
      </c>
      <c r="C103" s="53">
        <v>46146</v>
      </c>
      <c r="D103" s="47" t="s">
        <v>63</v>
      </c>
      <c r="E103" s="52" t="s">
        <v>312</v>
      </c>
      <c r="F103" s="30">
        <v>1500</v>
      </c>
      <c r="G103" s="30">
        <f t="shared" si="12"/>
        <v>240</v>
      </c>
      <c r="H103" s="30">
        <f t="shared" si="14"/>
        <v>1740</v>
      </c>
      <c r="I103" s="30" t="s">
        <v>15</v>
      </c>
      <c r="J103" s="53">
        <v>46157</v>
      </c>
      <c r="K103" s="47"/>
      <c r="L103" s="47" t="s">
        <v>71</v>
      </c>
      <c r="M103" s="47" t="s">
        <v>220</v>
      </c>
      <c r="O103" s="54">
        <f t="shared" si="16"/>
        <v>0.1</v>
      </c>
      <c r="P103" s="16">
        <v>150</v>
      </c>
      <c r="Q103" s="16">
        <v>150</v>
      </c>
      <c r="R103" s="16">
        <v>1800</v>
      </c>
      <c r="S103" s="54">
        <f t="shared" si="17"/>
        <v>8.3333333333333329E-2</v>
      </c>
    </row>
    <row r="104" spans="1:19" ht="21" customHeight="1" x14ac:dyDescent="0.3">
      <c r="A104" s="39">
        <f t="shared" si="11"/>
        <v>102</v>
      </c>
      <c r="B104" s="52" t="s">
        <v>313</v>
      </c>
      <c r="C104" s="53">
        <v>46146</v>
      </c>
      <c r="D104" s="47" t="s">
        <v>63</v>
      </c>
      <c r="E104" s="52" t="s">
        <v>314</v>
      </c>
      <c r="F104" s="30">
        <v>18080</v>
      </c>
      <c r="G104" s="30">
        <f t="shared" si="12"/>
        <v>2892.8</v>
      </c>
      <c r="H104" s="30">
        <f t="shared" si="14"/>
        <v>20972.799999999999</v>
      </c>
      <c r="I104" s="30" t="s">
        <v>15</v>
      </c>
      <c r="J104" s="53">
        <v>46157</v>
      </c>
      <c r="K104" s="47"/>
      <c r="L104" s="47" t="s">
        <v>65</v>
      </c>
      <c r="M104" s="47" t="s">
        <v>260</v>
      </c>
      <c r="O104" s="54">
        <f t="shared" si="16"/>
        <v>0.33628318584070799</v>
      </c>
      <c r="P104" s="16">
        <v>6080</v>
      </c>
      <c r="Q104" s="16">
        <v>1520</v>
      </c>
      <c r="R104" s="16">
        <v>19600</v>
      </c>
      <c r="S104" s="54">
        <f t="shared" si="17"/>
        <v>7.7551020408163265E-2</v>
      </c>
    </row>
    <row r="105" spans="1:19" ht="21" customHeight="1" x14ac:dyDescent="0.3">
      <c r="A105" s="39">
        <f t="shared" si="11"/>
        <v>103</v>
      </c>
      <c r="B105" s="52" t="s">
        <v>315</v>
      </c>
      <c r="C105" s="53">
        <v>46146</v>
      </c>
      <c r="D105" s="47" t="s">
        <v>63</v>
      </c>
      <c r="E105" s="52" t="s">
        <v>316</v>
      </c>
      <c r="F105" s="30">
        <v>36160</v>
      </c>
      <c r="G105" s="30">
        <f t="shared" si="12"/>
        <v>5785.6</v>
      </c>
      <c r="H105" s="30">
        <f t="shared" si="14"/>
        <v>41945.599999999999</v>
      </c>
      <c r="I105" s="30" t="s">
        <v>15</v>
      </c>
      <c r="J105" s="53">
        <v>46157</v>
      </c>
      <c r="K105" s="47"/>
      <c r="L105" s="47" t="s">
        <v>65</v>
      </c>
      <c r="M105" s="47" t="s">
        <v>260</v>
      </c>
      <c r="O105" s="54">
        <f t="shared" si="16"/>
        <v>0.33628318584070799</v>
      </c>
      <c r="P105" s="16">
        <v>12160</v>
      </c>
      <c r="Q105" s="16">
        <v>3040</v>
      </c>
      <c r="R105" s="16">
        <v>30200</v>
      </c>
      <c r="S105" s="54">
        <f t="shared" si="17"/>
        <v>0.10066225165562914</v>
      </c>
    </row>
    <row r="106" spans="1:19" ht="21" customHeight="1" x14ac:dyDescent="0.3">
      <c r="A106" s="39">
        <f t="shared" si="11"/>
        <v>104</v>
      </c>
      <c r="B106" s="52" t="s">
        <v>317</v>
      </c>
      <c r="C106" s="53">
        <v>46146</v>
      </c>
      <c r="D106" s="47" t="s">
        <v>63</v>
      </c>
      <c r="E106" s="52" t="s">
        <v>318</v>
      </c>
      <c r="F106" s="30">
        <v>46600</v>
      </c>
      <c r="G106" s="30">
        <f t="shared" si="12"/>
        <v>7456</v>
      </c>
      <c r="H106" s="30">
        <f t="shared" si="14"/>
        <v>54056</v>
      </c>
      <c r="I106" s="30" t="s">
        <v>15</v>
      </c>
      <c r="J106" s="53">
        <v>46157</v>
      </c>
      <c r="K106" s="47"/>
      <c r="L106" s="47" t="s">
        <v>77</v>
      </c>
      <c r="M106" s="47" t="s">
        <v>220</v>
      </c>
      <c r="O106" s="54">
        <f t="shared" si="16"/>
        <v>4.5064377682403435E-2</v>
      </c>
      <c r="P106" s="16">
        <v>2100</v>
      </c>
      <c r="Q106" s="16">
        <v>900</v>
      </c>
      <c r="R106" s="16">
        <v>47500</v>
      </c>
      <c r="S106" s="54">
        <f t="shared" si="17"/>
        <v>1.8947368421052633E-2</v>
      </c>
    </row>
    <row r="107" spans="1:19" ht="21" customHeight="1" x14ac:dyDescent="0.3">
      <c r="A107" s="39">
        <f t="shared" si="11"/>
        <v>105</v>
      </c>
      <c r="B107" s="52" t="s">
        <v>319</v>
      </c>
      <c r="C107" s="53">
        <v>46146</v>
      </c>
      <c r="D107" s="47" t="s">
        <v>63</v>
      </c>
      <c r="E107" s="52" t="s">
        <v>320</v>
      </c>
      <c r="F107" s="30">
        <v>1050</v>
      </c>
      <c r="G107" s="30">
        <f t="shared" si="12"/>
        <v>168</v>
      </c>
      <c r="H107" s="30">
        <f t="shared" si="14"/>
        <v>1218</v>
      </c>
      <c r="I107" s="30" t="s">
        <v>15</v>
      </c>
      <c r="J107" s="53">
        <v>46157</v>
      </c>
      <c r="K107" s="47"/>
      <c r="L107" s="47" t="s">
        <v>71</v>
      </c>
      <c r="M107" s="47" t="s">
        <v>220</v>
      </c>
      <c r="O107" s="54">
        <f t="shared" si="16"/>
        <v>0.14285714285714285</v>
      </c>
      <c r="P107" s="16">
        <v>150</v>
      </c>
      <c r="Q107" s="16">
        <v>150</v>
      </c>
      <c r="R107" s="16">
        <v>1200</v>
      </c>
      <c r="S107" s="54">
        <f t="shared" si="17"/>
        <v>0.125</v>
      </c>
    </row>
    <row r="108" spans="1:19" ht="21" customHeight="1" x14ac:dyDescent="0.3">
      <c r="A108" s="39">
        <f t="shared" si="11"/>
        <v>106</v>
      </c>
      <c r="B108" s="52" t="s">
        <v>321</v>
      </c>
      <c r="C108" s="53">
        <v>46146</v>
      </c>
      <c r="D108" s="47" t="s">
        <v>63</v>
      </c>
      <c r="E108" s="52" t="s">
        <v>322</v>
      </c>
      <c r="F108" s="30">
        <v>1050</v>
      </c>
      <c r="G108" s="30">
        <f t="shared" si="12"/>
        <v>168</v>
      </c>
      <c r="H108" s="30">
        <f t="shared" si="14"/>
        <v>1218</v>
      </c>
      <c r="I108" s="30" t="s">
        <v>15</v>
      </c>
      <c r="J108" s="53">
        <v>46157</v>
      </c>
      <c r="K108" s="47"/>
      <c r="L108" s="47" t="s">
        <v>71</v>
      </c>
      <c r="M108" s="47" t="s">
        <v>220</v>
      </c>
      <c r="N108" s="14">
        <v>414</v>
      </c>
      <c r="O108" s="54">
        <f t="shared" si="16"/>
        <v>0.14285714285714285</v>
      </c>
      <c r="P108" s="16">
        <v>150</v>
      </c>
      <c r="Q108" s="16">
        <v>150</v>
      </c>
      <c r="R108" s="16">
        <v>1200</v>
      </c>
      <c r="S108" s="54">
        <f t="shared" si="17"/>
        <v>0.125</v>
      </c>
    </row>
    <row r="109" spans="1:19" ht="21" customHeight="1" x14ac:dyDescent="0.3">
      <c r="A109" s="39">
        <f t="shared" si="11"/>
        <v>107</v>
      </c>
      <c r="B109" s="52" t="s">
        <v>323</v>
      </c>
      <c r="C109" s="53">
        <v>46146</v>
      </c>
      <c r="D109" s="47" t="s">
        <v>63</v>
      </c>
      <c r="E109" s="52" t="s">
        <v>324</v>
      </c>
      <c r="F109" s="30">
        <v>46300</v>
      </c>
      <c r="G109" s="30">
        <f t="shared" si="12"/>
        <v>7408</v>
      </c>
      <c r="H109" s="30">
        <f t="shared" si="14"/>
        <v>53708</v>
      </c>
      <c r="I109" s="30" t="s">
        <v>15</v>
      </c>
      <c r="J109" s="53">
        <v>46157</v>
      </c>
      <c r="K109" s="47"/>
      <c r="L109" s="47" t="s">
        <v>77</v>
      </c>
      <c r="M109" s="47" t="s">
        <v>260</v>
      </c>
      <c r="N109" s="14">
        <v>440</v>
      </c>
      <c r="O109" s="54">
        <f t="shared" si="16"/>
        <v>6.0475161987041039E-2</v>
      </c>
      <c r="P109" s="16">
        <v>2800</v>
      </c>
      <c r="Q109" s="16">
        <v>1200</v>
      </c>
      <c r="R109" s="75"/>
      <c r="S109" s="54" t="e">
        <f t="shared" si="17"/>
        <v>#DIV/0!</v>
      </c>
    </row>
    <row r="110" spans="1:19" ht="21" customHeight="1" x14ac:dyDescent="0.3">
      <c r="A110" s="39">
        <f t="shared" si="11"/>
        <v>108</v>
      </c>
      <c r="B110" s="52" t="s">
        <v>325</v>
      </c>
      <c r="C110" s="53">
        <v>46146</v>
      </c>
      <c r="D110" s="47" t="s">
        <v>63</v>
      </c>
      <c r="E110" s="52" t="s">
        <v>326</v>
      </c>
      <c r="F110" s="30">
        <v>4620</v>
      </c>
      <c r="G110" s="30">
        <f t="shared" si="12"/>
        <v>739.2</v>
      </c>
      <c r="H110" s="30">
        <f t="shared" si="14"/>
        <v>5359.2</v>
      </c>
      <c r="I110" s="30" t="s">
        <v>15</v>
      </c>
      <c r="J110" s="53">
        <v>46157</v>
      </c>
      <c r="K110" s="47"/>
      <c r="L110" s="47" t="s">
        <v>65</v>
      </c>
      <c r="M110" s="47" t="s">
        <v>260</v>
      </c>
      <c r="N110" s="14">
        <v>436</v>
      </c>
      <c r="O110" s="54">
        <f t="shared" si="16"/>
        <v>0.24242424242424243</v>
      </c>
      <c r="P110" s="16">
        <v>1120</v>
      </c>
      <c r="Q110" s="16">
        <v>280</v>
      </c>
      <c r="R110" s="75"/>
      <c r="S110" s="54" t="e">
        <f t="shared" si="17"/>
        <v>#DIV/0!</v>
      </c>
    </row>
    <row r="111" spans="1:19" ht="21" customHeight="1" x14ac:dyDescent="0.3">
      <c r="A111" s="39">
        <f t="shared" si="11"/>
        <v>109</v>
      </c>
      <c r="B111" s="52" t="s">
        <v>327</v>
      </c>
      <c r="C111" s="53">
        <v>46146</v>
      </c>
      <c r="D111" s="47" t="s">
        <v>63</v>
      </c>
      <c r="E111" s="52" t="s">
        <v>328</v>
      </c>
      <c r="F111" s="30">
        <v>4660</v>
      </c>
      <c r="G111" s="30">
        <f t="shared" si="12"/>
        <v>745.6</v>
      </c>
      <c r="H111" s="30">
        <f t="shared" si="14"/>
        <v>5405.6</v>
      </c>
      <c r="I111" s="30" t="s">
        <v>15</v>
      </c>
      <c r="J111" s="53">
        <v>46157</v>
      </c>
      <c r="K111" s="47"/>
      <c r="L111" s="47" t="s">
        <v>65</v>
      </c>
      <c r="M111" s="47" t="s">
        <v>220</v>
      </c>
      <c r="N111" s="14">
        <v>402</v>
      </c>
      <c r="O111" s="54">
        <f t="shared" si="16"/>
        <v>0.72103004291845496</v>
      </c>
      <c r="P111" s="16">
        <v>3360</v>
      </c>
      <c r="Q111" s="16">
        <v>840</v>
      </c>
      <c r="R111" s="75"/>
      <c r="S111" s="54" t="e">
        <f t="shared" si="17"/>
        <v>#DIV/0!</v>
      </c>
    </row>
    <row r="112" spans="1:19" ht="21" customHeight="1" x14ac:dyDescent="0.3">
      <c r="A112" s="39">
        <f t="shared" si="11"/>
        <v>110</v>
      </c>
      <c r="B112" s="52" t="s">
        <v>329</v>
      </c>
      <c r="C112" s="53">
        <v>46153</v>
      </c>
      <c r="D112" s="47" t="s">
        <v>63</v>
      </c>
      <c r="E112" s="52" t="s">
        <v>330</v>
      </c>
      <c r="F112" s="30">
        <v>3150</v>
      </c>
      <c r="G112" s="30">
        <f t="shared" si="12"/>
        <v>504</v>
      </c>
      <c r="H112" s="30">
        <f t="shared" si="14"/>
        <v>3654</v>
      </c>
      <c r="I112" s="30" t="s">
        <v>15</v>
      </c>
      <c r="J112" s="53">
        <v>46157</v>
      </c>
      <c r="K112" s="47"/>
      <c r="L112" s="47" t="s">
        <v>71</v>
      </c>
      <c r="M112" s="47" t="s">
        <v>220</v>
      </c>
      <c r="N112" s="14">
        <v>414</v>
      </c>
      <c r="O112" s="54">
        <f t="shared" si="16"/>
        <v>0.14285714285714285</v>
      </c>
      <c r="P112" s="16">
        <v>450</v>
      </c>
      <c r="Q112" s="16">
        <v>450</v>
      </c>
      <c r="R112" s="16">
        <v>3600</v>
      </c>
      <c r="S112" s="54">
        <f t="shared" si="17"/>
        <v>0.125</v>
      </c>
    </row>
    <row r="113" spans="1:19" ht="21" customHeight="1" x14ac:dyDescent="0.3">
      <c r="A113" s="39">
        <f t="shared" si="11"/>
        <v>111</v>
      </c>
      <c r="B113" s="52" t="s">
        <v>331</v>
      </c>
      <c r="C113" s="53">
        <v>46153</v>
      </c>
      <c r="D113" s="47" t="s">
        <v>63</v>
      </c>
      <c r="E113" s="52" t="s">
        <v>332</v>
      </c>
      <c r="F113" s="30">
        <v>41750</v>
      </c>
      <c r="G113" s="30">
        <f t="shared" si="12"/>
        <v>6680</v>
      </c>
      <c r="H113" s="30">
        <f t="shared" si="14"/>
        <v>48430</v>
      </c>
      <c r="I113" s="30" t="s">
        <v>15</v>
      </c>
      <c r="J113" s="53">
        <v>46171</v>
      </c>
      <c r="K113" s="47"/>
      <c r="L113" s="47" t="s">
        <v>77</v>
      </c>
      <c r="M113" s="47" t="s">
        <v>220</v>
      </c>
      <c r="N113" s="14">
        <v>409</v>
      </c>
      <c r="O113" s="54">
        <f t="shared" si="16"/>
        <v>4.1916167664670656E-2</v>
      </c>
      <c r="P113" s="16">
        <v>1750</v>
      </c>
      <c r="Q113" s="16">
        <v>750</v>
      </c>
      <c r="R113" s="16">
        <v>42500</v>
      </c>
      <c r="S113" s="54">
        <f t="shared" si="17"/>
        <v>1.7647058823529412E-2</v>
      </c>
    </row>
    <row r="114" spans="1:19" ht="21" customHeight="1" x14ac:dyDescent="0.3">
      <c r="A114" s="39">
        <f t="shared" si="11"/>
        <v>112</v>
      </c>
      <c r="B114" s="52" t="s">
        <v>333</v>
      </c>
      <c r="C114" s="53">
        <v>46155</v>
      </c>
      <c r="D114" s="47" t="s">
        <v>106</v>
      </c>
      <c r="E114" s="52" t="s">
        <v>150</v>
      </c>
      <c r="F114" s="30">
        <v>2775</v>
      </c>
      <c r="G114" s="30">
        <f t="shared" si="12"/>
        <v>444</v>
      </c>
      <c r="H114" s="30">
        <f t="shared" si="14"/>
        <v>3219</v>
      </c>
      <c r="I114" s="30" t="s">
        <v>15</v>
      </c>
      <c r="J114" s="53">
        <v>46171</v>
      </c>
      <c r="K114" s="47"/>
      <c r="L114" s="47" t="s">
        <v>299</v>
      </c>
      <c r="M114" s="47" t="s">
        <v>299</v>
      </c>
      <c r="N114" s="14"/>
      <c r="O114" s="54">
        <f t="shared" si="16"/>
        <v>1</v>
      </c>
      <c r="P114" s="16">
        <v>2775</v>
      </c>
      <c r="Q114" s="16">
        <v>0</v>
      </c>
      <c r="R114" s="16">
        <v>0</v>
      </c>
      <c r="S114" s="54">
        <v>0</v>
      </c>
    </row>
    <row r="115" spans="1:19" ht="21" customHeight="1" x14ac:dyDescent="0.3">
      <c r="A115" s="39">
        <f t="shared" si="11"/>
        <v>113</v>
      </c>
      <c r="B115" s="52" t="s">
        <v>334</v>
      </c>
      <c r="C115" s="53">
        <v>46155</v>
      </c>
      <c r="D115" s="47" t="s">
        <v>63</v>
      </c>
      <c r="E115" s="52" t="s">
        <v>335</v>
      </c>
      <c r="F115" s="30">
        <v>525</v>
      </c>
      <c r="G115" s="30">
        <f t="shared" si="12"/>
        <v>84</v>
      </c>
      <c r="H115" s="30">
        <f t="shared" si="14"/>
        <v>609</v>
      </c>
      <c r="I115" s="30" t="s">
        <v>15</v>
      </c>
      <c r="J115" s="53">
        <v>46171</v>
      </c>
      <c r="K115" s="47"/>
      <c r="L115" s="47" t="s">
        <v>71</v>
      </c>
      <c r="M115" s="47" t="s">
        <v>220</v>
      </c>
      <c r="N115" s="14">
        <v>407</v>
      </c>
      <c r="O115" s="54">
        <f t="shared" si="16"/>
        <v>0.14285714285714285</v>
      </c>
      <c r="P115" s="16">
        <v>75</v>
      </c>
      <c r="Q115" s="16">
        <v>75</v>
      </c>
      <c r="R115" s="16">
        <v>600</v>
      </c>
      <c r="S115" s="54">
        <f t="shared" si="17"/>
        <v>0.125</v>
      </c>
    </row>
    <row r="116" spans="1:19" ht="21" customHeight="1" x14ac:dyDescent="0.3">
      <c r="A116" s="39">
        <f t="shared" si="11"/>
        <v>114</v>
      </c>
      <c r="B116" s="52" t="s">
        <v>336</v>
      </c>
      <c r="C116" s="53">
        <v>46155</v>
      </c>
      <c r="D116" s="47" t="s">
        <v>63</v>
      </c>
      <c r="E116" s="52" t="s">
        <v>337</v>
      </c>
      <c r="F116" s="30">
        <v>1050</v>
      </c>
      <c r="G116" s="30">
        <f t="shared" si="12"/>
        <v>168</v>
      </c>
      <c r="H116" s="30">
        <f t="shared" si="14"/>
        <v>1218</v>
      </c>
      <c r="I116" s="30" t="s">
        <v>15</v>
      </c>
      <c r="J116" s="53">
        <v>46171</v>
      </c>
      <c r="K116" s="47"/>
      <c r="L116" s="47" t="s">
        <v>71</v>
      </c>
      <c r="M116" s="47" t="s">
        <v>220</v>
      </c>
      <c r="N116" s="14">
        <v>414</v>
      </c>
      <c r="O116" s="54">
        <f t="shared" si="16"/>
        <v>0.14285714285714285</v>
      </c>
      <c r="P116" s="16">
        <v>150</v>
      </c>
      <c r="Q116" s="16">
        <v>150</v>
      </c>
      <c r="R116" s="16">
        <v>1200</v>
      </c>
      <c r="S116" s="54">
        <f t="shared" si="17"/>
        <v>0.125</v>
      </c>
    </row>
    <row r="117" spans="1:19" ht="21" customHeight="1" x14ac:dyDescent="0.3">
      <c r="A117" s="39">
        <f t="shared" si="11"/>
        <v>115</v>
      </c>
      <c r="B117" s="52" t="s">
        <v>338</v>
      </c>
      <c r="C117" s="53">
        <v>46155</v>
      </c>
      <c r="D117" s="47" t="s">
        <v>63</v>
      </c>
      <c r="E117" s="52" t="s">
        <v>339</v>
      </c>
      <c r="F117" s="30">
        <v>4620</v>
      </c>
      <c r="G117" s="30">
        <f t="shared" si="12"/>
        <v>739.2</v>
      </c>
      <c r="H117" s="30">
        <f t="shared" si="14"/>
        <v>5359.2</v>
      </c>
      <c r="I117" s="30" t="s">
        <v>15</v>
      </c>
      <c r="J117" s="53">
        <v>46171</v>
      </c>
      <c r="K117" s="47"/>
      <c r="L117" s="47" t="s">
        <v>65</v>
      </c>
      <c r="M117" s="47" t="s">
        <v>260</v>
      </c>
      <c r="N117" s="14">
        <v>440</v>
      </c>
      <c r="O117" s="54">
        <f t="shared" si="16"/>
        <v>0.24242424242424243</v>
      </c>
      <c r="P117" s="16">
        <v>1120</v>
      </c>
      <c r="Q117" s="16">
        <v>280</v>
      </c>
      <c r="R117" s="16">
        <v>4900</v>
      </c>
      <c r="S117" s="54">
        <f t="shared" si="17"/>
        <v>5.7142857142857141E-2</v>
      </c>
    </row>
    <row r="118" spans="1:19" ht="21" customHeight="1" x14ac:dyDescent="0.3">
      <c r="A118" s="39">
        <f t="shared" si="11"/>
        <v>116</v>
      </c>
      <c r="B118" s="52" t="s">
        <v>340</v>
      </c>
      <c r="C118" s="53">
        <v>46155</v>
      </c>
      <c r="D118" s="47" t="s">
        <v>63</v>
      </c>
      <c r="E118" s="52" t="s">
        <v>341</v>
      </c>
      <c r="F118" s="30">
        <v>32660</v>
      </c>
      <c r="G118" s="30">
        <f t="shared" si="12"/>
        <v>5225.6000000000004</v>
      </c>
      <c r="H118" s="30">
        <f t="shared" si="14"/>
        <v>37885.599999999999</v>
      </c>
      <c r="I118" s="30" t="s">
        <v>15</v>
      </c>
      <c r="J118" s="53">
        <v>46171</v>
      </c>
      <c r="K118" s="47"/>
      <c r="L118" s="47" t="s">
        <v>65</v>
      </c>
      <c r="M118" s="47" t="s">
        <v>260</v>
      </c>
      <c r="N118" s="14">
        <v>437</v>
      </c>
      <c r="O118" s="54">
        <f t="shared" si="16"/>
        <v>0.34170238824249849</v>
      </c>
      <c r="P118" s="16">
        <v>11160</v>
      </c>
      <c r="Q118" s="16">
        <v>1640</v>
      </c>
      <c r="R118" s="16">
        <v>34300</v>
      </c>
      <c r="S118" s="54">
        <f t="shared" si="17"/>
        <v>4.78134110787172E-2</v>
      </c>
    </row>
    <row r="119" spans="1:19" ht="21" customHeight="1" x14ac:dyDescent="0.3">
      <c r="A119" s="39">
        <f t="shared" si="11"/>
        <v>117</v>
      </c>
      <c r="B119" s="52" t="s">
        <v>342</v>
      </c>
      <c r="C119" s="53">
        <v>46155</v>
      </c>
      <c r="D119" s="47" t="s">
        <v>63</v>
      </c>
      <c r="E119" s="52" t="s">
        <v>343</v>
      </c>
      <c r="F119" s="30">
        <v>525</v>
      </c>
      <c r="G119" s="30">
        <f t="shared" si="12"/>
        <v>84</v>
      </c>
      <c r="H119" s="30">
        <f t="shared" si="14"/>
        <v>609</v>
      </c>
      <c r="I119" s="30" t="s">
        <v>15</v>
      </c>
      <c r="J119" s="53">
        <v>46171</v>
      </c>
      <c r="K119" s="47"/>
      <c r="L119" s="47" t="s">
        <v>71</v>
      </c>
      <c r="M119" s="47" t="s">
        <v>220</v>
      </c>
      <c r="N119" s="14">
        <v>413</v>
      </c>
      <c r="O119" s="54">
        <f t="shared" si="16"/>
        <v>0.14285714285714285</v>
      </c>
      <c r="P119" s="16">
        <v>75</v>
      </c>
      <c r="Q119" s="16">
        <v>75</v>
      </c>
      <c r="R119" s="16">
        <v>600</v>
      </c>
      <c r="S119" s="54">
        <f t="shared" si="17"/>
        <v>0.125</v>
      </c>
    </row>
    <row r="120" spans="1:19" ht="21" customHeight="1" x14ac:dyDescent="0.3">
      <c r="A120" s="39">
        <f t="shared" si="11"/>
        <v>118</v>
      </c>
      <c r="B120" s="52" t="s">
        <v>344</v>
      </c>
      <c r="C120" s="53">
        <v>46155</v>
      </c>
      <c r="D120" s="47" t="s">
        <v>63</v>
      </c>
      <c r="E120" s="52" t="s">
        <v>345</v>
      </c>
      <c r="F120" s="30">
        <v>3675</v>
      </c>
      <c r="G120" s="30">
        <f t="shared" si="12"/>
        <v>588</v>
      </c>
      <c r="H120" s="30">
        <f t="shared" si="14"/>
        <v>4263</v>
      </c>
      <c r="I120" s="30" t="s">
        <v>15</v>
      </c>
      <c r="J120" s="53">
        <v>46171</v>
      </c>
      <c r="K120" s="47"/>
      <c r="L120" s="47" t="s">
        <v>71</v>
      </c>
      <c r="M120" s="47" t="s">
        <v>220</v>
      </c>
      <c r="N120" s="14">
        <v>414</v>
      </c>
      <c r="O120" s="54">
        <f t="shared" si="16"/>
        <v>0.14285714285714285</v>
      </c>
      <c r="P120" s="16">
        <v>525</v>
      </c>
      <c r="Q120" s="16">
        <v>525</v>
      </c>
      <c r="R120" s="16">
        <v>4200</v>
      </c>
      <c r="S120" s="54">
        <f t="shared" si="17"/>
        <v>0.125</v>
      </c>
    </row>
    <row r="121" spans="1:19" ht="21" customHeight="1" x14ac:dyDescent="0.3">
      <c r="A121" s="39">
        <f t="shared" si="11"/>
        <v>119</v>
      </c>
      <c r="B121" s="52" t="s">
        <v>346</v>
      </c>
      <c r="C121" s="53">
        <v>46155</v>
      </c>
      <c r="D121" s="47" t="s">
        <v>63</v>
      </c>
      <c r="E121" s="52" t="s">
        <v>347</v>
      </c>
      <c r="F121" s="30">
        <v>18610</v>
      </c>
      <c r="G121" s="30">
        <f t="shared" si="12"/>
        <v>2977.6</v>
      </c>
      <c r="H121" s="30">
        <f t="shared" si="14"/>
        <v>21587.599999999999</v>
      </c>
      <c r="I121" s="30" t="s">
        <v>15</v>
      </c>
      <c r="J121" s="53">
        <v>46171</v>
      </c>
      <c r="K121" s="47"/>
      <c r="L121" s="47" t="s">
        <v>348</v>
      </c>
      <c r="M121" s="47" t="s">
        <v>260</v>
      </c>
      <c r="N121" s="14">
        <v>439</v>
      </c>
      <c r="O121" s="54">
        <f t="shared" si="16"/>
        <v>0.35518538420204193</v>
      </c>
      <c r="P121" s="16">
        <v>6610</v>
      </c>
      <c r="Q121" s="16">
        <v>990</v>
      </c>
      <c r="R121" s="16">
        <v>19600</v>
      </c>
      <c r="S121" s="54">
        <f t="shared" si="17"/>
        <v>5.0510204081632655E-2</v>
      </c>
    </row>
    <row r="122" spans="1:19" ht="21" customHeight="1" x14ac:dyDescent="0.3">
      <c r="A122" s="39">
        <f t="shared" si="11"/>
        <v>120</v>
      </c>
      <c r="B122" s="52" t="s">
        <v>349</v>
      </c>
      <c r="C122" s="53">
        <v>46163</v>
      </c>
      <c r="D122" s="47" t="s">
        <v>63</v>
      </c>
      <c r="E122" s="52" t="s">
        <v>350</v>
      </c>
      <c r="F122" s="30">
        <v>525</v>
      </c>
      <c r="G122" s="30">
        <f t="shared" si="12"/>
        <v>84</v>
      </c>
      <c r="H122" s="30">
        <f t="shared" si="14"/>
        <v>609</v>
      </c>
      <c r="I122" s="30" t="s">
        <v>15</v>
      </c>
      <c r="J122" s="53">
        <v>46171</v>
      </c>
      <c r="K122" s="47"/>
      <c r="L122" s="47" t="s">
        <v>71</v>
      </c>
      <c r="M122" s="47" t="s">
        <v>260</v>
      </c>
      <c r="N122" s="14">
        <v>440</v>
      </c>
      <c r="O122" s="54">
        <f t="shared" si="16"/>
        <v>0.14285714285714285</v>
      </c>
      <c r="P122" s="16">
        <v>75</v>
      </c>
      <c r="Q122" s="16">
        <v>75</v>
      </c>
      <c r="R122" s="16">
        <v>600</v>
      </c>
      <c r="S122" s="54">
        <f t="shared" si="17"/>
        <v>0.125</v>
      </c>
    </row>
    <row r="123" spans="1:19" ht="21" customHeight="1" x14ac:dyDescent="0.3">
      <c r="A123" s="39">
        <f t="shared" si="11"/>
        <v>121</v>
      </c>
      <c r="B123" s="52" t="s">
        <v>351</v>
      </c>
      <c r="C123" s="53">
        <v>46163</v>
      </c>
      <c r="D123" s="47" t="s">
        <v>63</v>
      </c>
      <c r="E123" s="52" t="s">
        <v>352</v>
      </c>
      <c r="F123" s="30">
        <v>54000</v>
      </c>
      <c r="G123" s="30">
        <f t="shared" si="12"/>
        <v>8640</v>
      </c>
      <c r="H123" s="30">
        <f t="shared" si="14"/>
        <v>62640</v>
      </c>
      <c r="I123" s="30" t="s">
        <v>15</v>
      </c>
      <c r="J123" s="53">
        <v>46171</v>
      </c>
      <c r="K123" s="47"/>
      <c r="L123" s="47" t="s">
        <v>77</v>
      </c>
      <c r="M123" s="47" t="s">
        <v>260</v>
      </c>
      <c r="N123" s="14">
        <v>451</v>
      </c>
      <c r="O123" s="54">
        <f t="shared" si="16"/>
        <v>7.407407407407407E-2</v>
      </c>
      <c r="P123" s="16">
        <v>4000</v>
      </c>
      <c r="Q123" s="16">
        <v>1000</v>
      </c>
      <c r="R123" s="16">
        <v>55000</v>
      </c>
      <c r="S123" s="54">
        <f t="shared" si="17"/>
        <v>1.8181818181818181E-2</v>
      </c>
    </row>
    <row r="124" spans="1:19" ht="21" customHeight="1" x14ac:dyDescent="0.3">
      <c r="A124" s="39">
        <f t="shared" si="11"/>
        <v>122</v>
      </c>
      <c r="B124" s="52" t="s">
        <v>353</v>
      </c>
      <c r="C124" s="53">
        <v>46163</v>
      </c>
      <c r="D124" s="47" t="s">
        <v>63</v>
      </c>
      <c r="E124" s="52" t="s">
        <v>354</v>
      </c>
      <c r="F124" s="30">
        <v>4620</v>
      </c>
      <c r="G124" s="30">
        <f t="shared" si="12"/>
        <v>739.2</v>
      </c>
      <c r="H124" s="30">
        <f t="shared" si="14"/>
        <v>5359.2</v>
      </c>
      <c r="I124" s="30" t="s">
        <v>15</v>
      </c>
      <c r="J124" s="53">
        <v>46171</v>
      </c>
      <c r="K124" s="47"/>
      <c r="L124" s="47" t="s">
        <v>65</v>
      </c>
      <c r="M124" s="47" t="s">
        <v>260</v>
      </c>
      <c r="N124" s="14">
        <v>458</v>
      </c>
      <c r="O124" s="54">
        <f t="shared" si="16"/>
        <v>0.24242424242424243</v>
      </c>
      <c r="P124" s="16">
        <v>1120</v>
      </c>
      <c r="Q124" s="16">
        <v>280</v>
      </c>
      <c r="R124" s="16">
        <v>4900</v>
      </c>
      <c r="S124" s="54">
        <f t="shared" si="17"/>
        <v>5.7142857142857141E-2</v>
      </c>
    </row>
    <row r="125" spans="1:19" ht="21" customHeight="1" x14ac:dyDescent="0.3">
      <c r="A125" s="39">
        <f t="shared" si="11"/>
        <v>123</v>
      </c>
      <c r="B125" s="52" t="s">
        <v>355</v>
      </c>
      <c r="C125" s="53">
        <v>46163</v>
      </c>
      <c r="D125" s="47" t="s">
        <v>63</v>
      </c>
      <c r="E125" s="52" t="s">
        <v>356</v>
      </c>
      <c r="F125" s="30">
        <v>40950</v>
      </c>
      <c r="G125" s="30">
        <f t="shared" si="12"/>
        <v>6552</v>
      </c>
      <c r="H125" s="30">
        <f>F125+G125</f>
        <v>47502</v>
      </c>
      <c r="I125" s="30" t="s">
        <v>15</v>
      </c>
      <c r="J125" s="53">
        <v>46171</v>
      </c>
      <c r="K125" s="47"/>
      <c r="L125" s="47" t="s">
        <v>77</v>
      </c>
      <c r="M125" s="47" t="s">
        <v>220</v>
      </c>
      <c r="N125" s="14">
        <v>422</v>
      </c>
      <c r="O125" s="54">
        <f t="shared" si="16"/>
        <v>0.21855921855921856</v>
      </c>
      <c r="P125" s="16">
        <v>8950</v>
      </c>
      <c r="Q125" s="16">
        <v>1050</v>
      </c>
      <c r="R125" s="16">
        <v>42000</v>
      </c>
      <c r="S125" s="54">
        <f t="shared" si="17"/>
        <v>2.5000000000000001E-2</v>
      </c>
    </row>
    <row r="126" spans="1:19" ht="21" customHeight="1" x14ac:dyDescent="0.3">
      <c r="A126" s="39">
        <f t="shared" si="11"/>
        <v>124</v>
      </c>
      <c r="B126" s="52" t="s">
        <v>357</v>
      </c>
      <c r="C126" s="53">
        <v>46164</v>
      </c>
      <c r="D126" s="47" t="s">
        <v>63</v>
      </c>
      <c r="E126" s="52" t="s">
        <v>358</v>
      </c>
      <c r="F126" s="30">
        <v>69500</v>
      </c>
      <c r="G126" s="30">
        <f t="shared" si="12"/>
        <v>11120</v>
      </c>
      <c r="H126" s="30">
        <f t="shared" ref="H126:H189" si="18">F126+G126</f>
        <v>80620</v>
      </c>
      <c r="I126" s="30" t="s">
        <v>15</v>
      </c>
      <c r="J126" s="53">
        <v>46171</v>
      </c>
      <c r="K126" s="47"/>
      <c r="L126" s="47" t="s">
        <v>77</v>
      </c>
      <c r="M126" s="47" t="s">
        <v>260</v>
      </c>
      <c r="N126" s="14">
        <v>454</v>
      </c>
      <c r="O126" s="54">
        <f t="shared" si="16"/>
        <v>3.5971223021582732E-2</v>
      </c>
      <c r="P126" s="16">
        <v>2500</v>
      </c>
      <c r="Q126" s="16">
        <v>500</v>
      </c>
      <c r="R126" s="16">
        <v>70000</v>
      </c>
      <c r="S126" s="54">
        <f t="shared" si="17"/>
        <v>7.1428571428571426E-3</v>
      </c>
    </row>
    <row r="127" spans="1:19" ht="21" customHeight="1" x14ac:dyDescent="0.3">
      <c r="A127" s="39">
        <f t="shared" si="11"/>
        <v>125</v>
      </c>
      <c r="B127" s="52" t="s">
        <v>359</v>
      </c>
      <c r="C127" s="53">
        <v>46164</v>
      </c>
      <c r="D127" s="47" t="s">
        <v>63</v>
      </c>
      <c r="E127" s="52" t="s">
        <v>360</v>
      </c>
      <c r="F127" s="30">
        <v>6200</v>
      </c>
      <c r="G127" s="30">
        <f t="shared" si="12"/>
        <v>992</v>
      </c>
      <c r="H127" s="30">
        <f t="shared" si="18"/>
        <v>7192</v>
      </c>
      <c r="I127" s="30" t="s">
        <v>15</v>
      </c>
      <c r="J127" s="53">
        <v>46171</v>
      </c>
      <c r="K127" s="47"/>
      <c r="L127" s="47" t="s">
        <v>133</v>
      </c>
      <c r="M127" s="47" t="s">
        <v>260</v>
      </c>
      <c r="N127" s="14">
        <v>452</v>
      </c>
      <c r="O127" s="54">
        <f t="shared" si="16"/>
        <v>0.11290322580645161</v>
      </c>
      <c r="P127" s="16">
        <v>700</v>
      </c>
      <c r="Q127" s="16">
        <v>300</v>
      </c>
      <c r="R127" s="16">
        <v>6500</v>
      </c>
      <c r="S127" s="54">
        <f t="shared" si="17"/>
        <v>4.6153846153846156E-2</v>
      </c>
    </row>
    <row r="128" spans="1:19" ht="21" customHeight="1" x14ac:dyDescent="0.3">
      <c r="A128" s="39">
        <f t="shared" si="11"/>
        <v>126</v>
      </c>
      <c r="B128" s="52" t="s">
        <v>361</v>
      </c>
      <c r="C128" s="53">
        <v>46170</v>
      </c>
      <c r="D128" s="47" t="s">
        <v>63</v>
      </c>
      <c r="E128" s="52" t="s">
        <v>362</v>
      </c>
      <c r="F128" s="30">
        <v>1050</v>
      </c>
      <c r="G128" s="30">
        <f t="shared" si="12"/>
        <v>168</v>
      </c>
      <c r="H128" s="30">
        <f t="shared" si="18"/>
        <v>1218</v>
      </c>
      <c r="I128" s="30" t="s">
        <v>15</v>
      </c>
      <c r="J128" s="53">
        <v>46171</v>
      </c>
      <c r="K128" s="47"/>
      <c r="L128" s="47" t="s">
        <v>71</v>
      </c>
      <c r="M128" s="47" t="s">
        <v>220</v>
      </c>
      <c r="N128" s="14">
        <v>423</v>
      </c>
      <c r="O128" s="54">
        <f t="shared" si="16"/>
        <v>0.14285714285714285</v>
      </c>
      <c r="P128" s="16">
        <v>150</v>
      </c>
      <c r="Q128" s="16">
        <v>150</v>
      </c>
      <c r="R128" s="16">
        <v>1200</v>
      </c>
      <c r="S128" s="54">
        <f t="shared" si="17"/>
        <v>0.125</v>
      </c>
    </row>
    <row r="129" spans="1:19" ht="21" customHeight="1" x14ac:dyDescent="0.3">
      <c r="A129" s="39">
        <f t="shared" si="11"/>
        <v>127</v>
      </c>
      <c r="B129" s="52" t="s">
        <v>363</v>
      </c>
      <c r="C129" s="53">
        <v>46170</v>
      </c>
      <c r="D129" s="47" t="s">
        <v>63</v>
      </c>
      <c r="E129" s="52" t="s">
        <v>362</v>
      </c>
      <c r="F129" s="30">
        <v>15275</v>
      </c>
      <c r="G129" s="30">
        <f t="shared" si="12"/>
        <v>2444</v>
      </c>
      <c r="H129" s="30">
        <f t="shared" si="18"/>
        <v>17719</v>
      </c>
      <c r="I129" s="30" t="s">
        <v>15</v>
      </c>
      <c r="J129" s="53">
        <v>46171</v>
      </c>
      <c r="K129" s="47"/>
      <c r="L129" s="47" t="s">
        <v>133</v>
      </c>
      <c r="M129" s="47" t="s">
        <v>260</v>
      </c>
      <c r="N129" s="14">
        <v>455</v>
      </c>
      <c r="O129" s="54">
        <f t="shared" si="16"/>
        <v>0.70540098199672663</v>
      </c>
      <c r="P129" s="16">
        <v>10775</v>
      </c>
      <c r="Q129" s="16">
        <v>975</v>
      </c>
      <c r="R129" s="16">
        <v>16250</v>
      </c>
      <c r="S129" s="54">
        <f t="shared" si="17"/>
        <v>0.06</v>
      </c>
    </row>
    <row r="130" spans="1:19" ht="21" customHeight="1" x14ac:dyDescent="0.3">
      <c r="A130" s="39">
        <f t="shared" si="11"/>
        <v>128</v>
      </c>
      <c r="B130" s="67" t="s">
        <v>364</v>
      </c>
      <c r="C130" s="68">
        <v>46170</v>
      </c>
      <c r="D130" s="69" t="s">
        <v>63</v>
      </c>
      <c r="E130" s="67" t="s">
        <v>365</v>
      </c>
      <c r="F130" s="70">
        <v>4620</v>
      </c>
      <c r="G130" s="70">
        <f t="shared" si="12"/>
        <v>739.2</v>
      </c>
      <c r="H130" s="70">
        <f t="shared" si="18"/>
        <v>5359.2</v>
      </c>
      <c r="I130" s="70" t="s">
        <v>33</v>
      </c>
      <c r="J130" s="68">
        <v>46188</v>
      </c>
      <c r="K130" s="69"/>
      <c r="L130" s="69" t="s">
        <v>65</v>
      </c>
      <c r="M130" s="69" t="s">
        <v>260</v>
      </c>
      <c r="N130" s="14">
        <v>458</v>
      </c>
      <c r="O130" s="54">
        <f t="shared" si="16"/>
        <v>0.35064935064935066</v>
      </c>
      <c r="P130" s="16">
        <v>1620</v>
      </c>
      <c r="Q130" s="16">
        <v>280</v>
      </c>
      <c r="R130" s="16">
        <v>4900</v>
      </c>
      <c r="S130" s="54">
        <f t="shared" si="17"/>
        <v>5.7142857142857141E-2</v>
      </c>
    </row>
    <row r="131" spans="1:19" ht="21" customHeight="1" x14ac:dyDescent="0.3">
      <c r="A131" s="39">
        <f t="shared" si="11"/>
        <v>129</v>
      </c>
      <c r="B131" s="67" t="s">
        <v>366</v>
      </c>
      <c r="C131" s="68">
        <v>46170</v>
      </c>
      <c r="D131" s="69" t="s">
        <v>63</v>
      </c>
      <c r="E131" s="67" t="s">
        <v>367</v>
      </c>
      <c r="F131" s="70">
        <v>36160</v>
      </c>
      <c r="G131" s="70">
        <f t="shared" si="12"/>
        <v>5785.6</v>
      </c>
      <c r="H131" s="70">
        <f t="shared" si="18"/>
        <v>41945.599999999999</v>
      </c>
      <c r="I131" s="70" t="s">
        <v>33</v>
      </c>
      <c r="J131" s="68">
        <v>46188</v>
      </c>
      <c r="K131" s="69"/>
      <c r="L131" s="69" t="s">
        <v>77</v>
      </c>
      <c r="M131" s="69" t="s">
        <v>260</v>
      </c>
      <c r="N131" s="14">
        <v>458</v>
      </c>
      <c r="O131" s="54">
        <f t="shared" si="16"/>
        <v>0.33628318584070799</v>
      </c>
      <c r="P131" s="16">
        <v>12160</v>
      </c>
      <c r="Q131" s="16">
        <v>3040</v>
      </c>
      <c r="R131" s="16">
        <v>39200</v>
      </c>
      <c r="S131" s="54">
        <f t="shared" si="17"/>
        <v>7.7551020408163265E-2</v>
      </c>
    </row>
    <row r="132" spans="1:19" ht="21" customHeight="1" x14ac:dyDescent="0.3">
      <c r="A132" s="39">
        <f t="shared" ref="A132:A195" si="19">A131+1</f>
        <v>130</v>
      </c>
      <c r="B132" s="67" t="s">
        <v>368</v>
      </c>
      <c r="C132" s="68">
        <v>46170</v>
      </c>
      <c r="D132" s="69" t="s">
        <v>63</v>
      </c>
      <c r="E132" s="67" t="s">
        <v>369</v>
      </c>
      <c r="F132" s="70">
        <v>4200</v>
      </c>
      <c r="G132" s="70">
        <f t="shared" si="12"/>
        <v>672</v>
      </c>
      <c r="H132" s="70">
        <f t="shared" si="18"/>
        <v>4872</v>
      </c>
      <c r="I132" s="70" t="s">
        <v>33</v>
      </c>
      <c r="J132" s="68">
        <v>46188</v>
      </c>
      <c r="K132" s="69"/>
      <c r="L132" s="69" t="s">
        <v>71</v>
      </c>
      <c r="M132" s="69" t="s">
        <v>220</v>
      </c>
      <c r="N132" s="14">
        <v>436</v>
      </c>
      <c r="O132" s="54">
        <f t="shared" si="16"/>
        <v>0.14285714285714285</v>
      </c>
      <c r="P132" s="16">
        <v>600</v>
      </c>
      <c r="Q132" s="16">
        <v>600</v>
      </c>
      <c r="R132" s="16">
        <v>4800</v>
      </c>
      <c r="S132" s="54">
        <f t="shared" si="17"/>
        <v>0.125</v>
      </c>
    </row>
    <row r="133" spans="1:19" ht="21" customHeight="1" x14ac:dyDescent="0.3">
      <c r="A133" s="39">
        <f t="shared" si="19"/>
        <v>131</v>
      </c>
      <c r="B133" s="67" t="s">
        <v>370</v>
      </c>
      <c r="C133" s="68">
        <v>46170</v>
      </c>
      <c r="D133" s="69" t="s">
        <v>63</v>
      </c>
      <c r="E133" s="67" t="s">
        <v>371</v>
      </c>
      <c r="F133" s="70">
        <v>41750</v>
      </c>
      <c r="G133" s="70">
        <f t="shared" si="12"/>
        <v>6680</v>
      </c>
      <c r="H133" s="70">
        <f t="shared" si="18"/>
        <v>48430</v>
      </c>
      <c r="I133" s="70" t="s">
        <v>33</v>
      </c>
      <c r="J133" s="68">
        <v>46188</v>
      </c>
      <c r="K133" s="69"/>
      <c r="L133" s="69" t="s">
        <v>372</v>
      </c>
      <c r="M133" s="69" t="s">
        <v>220</v>
      </c>
      <c r="N133" s="14">
        <v>431</v>
      </c>
      <c r="O133" s="54">
        <f t="shared" si="16"/>
        <v>4.1916167664670656E-2</v>
      </c>
      <c r="P133" s="16">
        <v>1750</v>
      </c>
      <c r="Q133" s="16">
        <v>750</v>
      </c>
      <c r="R133" s="16">
        <v>42500</v>
      </c>
      <c r="S133" s="54">
        <f t="shared" si="17"/>
        <v>1.7647058823529412E-2</v>
      </c>
    </row>
    <row r="134" spans="1:19" ht="21" customHeight="1" x14ac:dyDescent="0.3">
      <c r="A134" s="39">
        <f t="shared" si="19"/>
        <v>132</v>
      </c>
      <c r="B134" s="52" t="s">
        <v>373</v>
      </c>
      <c r="C134" s="53">
        <v>46171</v>
      </c>
      <c r="D134" s="47" t="s">
        <v>106</v>
      </c>
      <c r="E134" s="52" t="s">
        <v>150</v>
      </c>
      <c r="F134" s="30">
        <v>1500</v>
      </c>
      <c r="G134" s="30">
        <f t="shared" si="12"/>
        <v>240</v>
      </c>
      <c r="H134" s="30">
        <f t="shared" si="18"/>
        <v>1740</v>
      </c>
      <c r="I134" s="30" t="s">
        <v>15</v>
      </c>
      <c r="J134" s="53">
        <v>46188</v>
      </c>
      <c r="K134" s="47"/>
      <c r="L134" s="47" t="s">
        <v>299</v>
      </c>
      <c r="M134" s="47" t="s">
        <v>150</v>
      </c>
      <c r="N134" s="14" t="s">
        <v>150</v>
      </c>
      <c r="O134" s="54">
        <f t="shared" si="16"/>
        <v>1</v>
      </c>
      <c r="P134" s="16">
        <v>1500</v>
      </c>
      <c r="Q134" s="16">
        <v>0</v>
      </c>
      <c r="R134" s="16">
        <v>0</v>
      </c>
      <c r="S134" s="54" t="e">
        <f t="shared" si="17"/>
        <v>#DIV/0!</v>
      </c>
    </row>
    <row r="135" spans="1:19" ht="21" customHeight="1" x14ac:dyDescent="0.3">
      <c r="A135" s="39">
        <f t="shared" si="19"/>
        <v>133</v>
      </c>
      <c r="B135" s="52" t="s">
        <v>374</v>
      </c>
      <c r="C135" s="53">
        <v>46171</v>
      </c>
      <c r="D135" s="47" t="s">
        <v>106</v>
      </c>
      <c r="E135" s="52" t="s">
        <v>150</v>
      </c>
      <c r="F135" s="30">
        <v>1075</v>
      </c>
      <c r="G135" s="30">
        <f t="shared" si="12"/>
        <v>172</v>
      </c>
      <c r="H135" s="30">
        <f t="shared" si="18"/>
        <v>1247</v>
      </c>
      <c r="I135" s="30" t="s">
        <v>15</v>
      </c>
      <c r="J135" s="53">
        <v>46188</v>
      </c>
      <c r="K135" s="47"/>
      <c r="L135" s="47" t="s">
        <v>299</v>
      </c>
      <c r="M135" s="47" t="s">
        <v>150</v>
      </c>
      <c r="N135" s="14" t="s">
        <v>150</v>
      </c>
      <c r="O135" s="54">
        <f t="shared" si="16"/>
        <v>1</v>
      </c>
      <c r="P135" s="16">
        <v>1075</v>
      </c>
      <c r="Q135" s="16">
        <v>0</v>
      </c>
      <c r="R135" s="16">
        <v>0</v>
      </c>
      <c r="S135" s="54" t="e">
        <f t="shared" si="17"/>
        <v>#DIV/0!</v>
      </c>
    </row>
    <row r="136" spans="1:19" ht="21" customHeight="1" x14ac:dyDescent="0.3">
      <c r="A136" s="39">
        <f t="shared" si="19"/>
        <v>134</v>
      </c>
      <c r="B136" s="67" t="s">
        <v>375</v>
      </c>
      <c r="C136" s="68">
        <v>46171</v>
      </c>
      <c r="D136" s="69" t="s">
        <v>63</v>
      </c>
      <c r="E136" s="67" t="s">
        <v>376</v>
      </c>
      <c r="F136" s="70">
        <v>2550</v>
      </c>
      <c r="G136" s="70">
        <f t="shared" si="12"/>
        <v>408</v>
      </c>
      <c r="H136" s="70">
        <f t="shared" si="18"/>
        <v>2958</v>
      </c>
      <c r="I136" s="70" t="s">
        <v>33</v>
      </c>
      <c r="J136" s="68">
        <v>46188</v>
      </c>
      <c r="K136" s="69"/>
      <c r="L136" s="69" t="s">
        <v>65</v>
      </c>
      <c r="M136" s="69" t="s">
        <v>260</v>
      </c>
      <c r="N136" s="14">
        <v>460</v>
      </c>
      <c r="O136" s="54">
        <f t="shared" si="16"/>
        <v>0.13725490196078433</v>
      </c>
      <c r="P136" s="16">
        <v>350</v>
      </c>
      <c r="Q136" s="16">
        <v>150</v>
      </c>
      <c r="R136" s="16">
        <v>2700</v>
      </c>
      <c r="S136" s="54">
        <f t="shared" si="17"/>
        <v>5.5555555555555552E-2</v>
      </c>
    </row>
    <row r="137" spans="1:19" ht="21" customHeight="1" x14ac:dyDescent="0.3">
      <c r="A137" s="39">
        <f t="shared" si="19"/>
        <v>135</v>
      </c>
      <c r="B137" s="67" t="s">
        <v>377</v>
      </c>
      <c r="C137" s="68">
        <v>46171</v>
      </c>
      <c r="D137" s="69" t="s">
        <v>63</v>
      </c>
      <c r="E137" s="67" t="s">
        <v>378</v>
      </c>
      <c r="F137" s="70">
        <v>70800</v>
      </c>
      <c r="G137" s="70">
        <f t="shared" si="12"/>
        <v>11328</v>
      </c>
      <c r="H137" s="70">
        <f t="shared" si="18"/>
        <v>82128</v>
      </c>
      <c r="I137" s="70" t="s">
        <v>33</v>
      </c>
      <c r="J137" s="68">
        <v>46188</v>
      </c>
      <c r="K137" s="69"/>
      <c r="L137" s="69" t="s">
        <v>77</v>
      </c>
      <c r="M137" s="69" t="s">
        <v>220</v>
      </c>
      <c r="N137" s="14">
        <v>444</v>
      </c>
      <c r="O137" s="54">
        <f t="shared" si="16"/>
        <v>6.7796610169491525E-2</v>
      </c>
      <c r="P137" s="16">
        <v>4800</v>
      </c>
      <c r="Q137" s="16">
        <v>1200</v>
      </c>
      <c r="R137" s="16">
        <v>72000</v>
      </c>
      <c r="S137" s="54">
        <f t="shared" si="17"/>
        <v>1.6666666666666666E-2</v>
      </c>
    </row>
    <row r="138" spans="1:19" ht="21" customHeight="1" x14ac:dyDescent="0.3">
      <c r="A138" s="39">
        <f t="shared" si="19"/>
        <v>136</v>
      </c>
      <c r="B138" s="67" t="s">
        <v>379</v>
      </c>
      <c r="C138" s="68">
        <v>46171</v>
      </c>
      <c r="D138" s="69" t="s">
        <v>63</v>
      </c>
      <c r="E138" s="67" t="s">
        <v>380</v>
      </c>
      <c r="F138" s="70">
        <v>525</v>
      </c>
      <c r="G138" s="70">
        <f t="shared" si="12"/>
        <v>84</v>
      </c>
      <c r="H138" s="70">
        <f t="shared" si="18"/>
        <v>609</v>
      </c>
      <c r="I138" s="70" t="s">
        <v>33</v>
      </c>
      <c r="J138" s="68">
        <v>46188</v>
      </c>
      <c r="K138" s="69"/>
      <c r="L138" s="69" t="s">
        <v>71</v>
      </c>
      <c r="M138" s="69" t="s">
        <v>220</v>
      </c>
      <c r="N138" s="14">
        <v>443</v>
      </c>
      <c r="O138" s="54">
        <f t="shared" si="16"/>
        <v>0.2857142857142857</v>
      </c>
      <c r="P138" s="16">
        <v>150</v>
      </c>
      <c r="Q138" s="16">
        <v>150</v>
      </c>
      <c r="R138" s="16">
        <v>600</v>
      </c>
      <c r="S138" s="54">
        <f t="shared" si="17"/>
        <v>0.25</v>
      </c>
    </row>
    <row r="139" spans="1:19" ht="21" customHeight="1" x14ac:dyDescent="0.3">
      <c r="A139" s="39">
        <f t="shared" si="19"/>
        <v>137</v>
      </c>
      <c r="B139" s="67" t="s">
        <v>381</v>
      </c>
      <c r="C139" s="68">
        <v>46171</v>
      </c>
      <c r="D139" s="69" t="s">
        <v>63</v>
      </c>
      <c r="E139" s="67" t="s">
        <v>382</v>
      </c>
      <c r="F139" s="70">
        <v>104100</v>
      </c>
      <c r="G139" s="70">
        <f t="shared" ref="G139:G202" si="20">F139*16%</f>
        <v>16656</v>
      </c>
      <c r="H139" s="70">
        <f t="shared" si="18"/>
        <v>120756</v>
      </c>
      <c r="I139" s="70" t="s">
        <v>33</v>
      </c>
      <c r="J139" s="68">
        <v>46188</v>
      </c>
      <c r="K139" s="69"/>
      <c r="L139" s="69" t="s">
        <v>77</v>
      </c>
      <c r="M139" s="69" t="s">
        <v>383</v>
      </c>
      <c r="N139" s="14">
        <v>463</v>
      </c>
      <c r="O139" s="54">
        <f t="shared" si="16"/>
        <v>0.12584053794428435</v>
      </c>
      <c r="P139" s="16">
        <v>13100</v>
      </c>
      <c r="Q139" s="16">
        <v>1900</v>
      </c>
      <c r="R139" s="16">
        <v>106000</v>
      </c>
      <c r="S139" s="54">
        <f t="shared" si="17"/>
        <v>1.7924528301886792E-2</v>
      </c>
    </row>
    <row r="140" spans="1:19" ht="21" customHeight="1" x14ac:dyDescent="0.3">
      <c r="A140" s="39">
        <f t="shared" si="19"/>
        <v>138</v>
      </c>
      <c r="B140" s="52" t="s">
        <v>384</v>
      </c>
      <c r="C140" s="53">
        <v>46181</v>
      </c>
      <c r="D140" s="47" t="s">
        <v>63</v>
      </c>
      <c r="E140" s="52" t="s">
        <v>385</v>
      </c>
      <c r="F140" s="30">
        <v>69000</v>
      </c>
      <c r="G140" s="30">
        <f t="shared" si="20"/>
        <v>11040</v>
      </c>
      <c r="H140" s="30">
        <f t="shared" si="18"/>
        <v>80040</v>
      </c>
      <c r="I140" s="30" t="s">
        <v>15</v>
      </c>
      <c r="J140" s="53">
        <v>46188</v>
      </c>
      <c r="K140" s="47"/>
      <c r="L140" s="47" t="s">
        <v>77</v>
      </c>
      <c r="M140" s="47" t="s">
        <v>383</v>
      </c>
      <c r="N140" s="14">
        <v>465</v>
      </c>
      <c r="O140" s="54">
        <f t="shared" si="16"/>
        <v>7.2463768115942032E-2</v>
      </c>
      <c r="P140" s="16">
        <v>5000</v>
      </c>
      <c r="Q140" s="16">
        <v>1000</v>
      </c>
      <c r="R140" s="16">
        <v>70000</v>
      </c>
      <c r="S140" s="54">
        <f t="shared" si="17"/>
        <v>1.4285714285714285E-2</v>
      </c>
    </row>
    <row r="141" spans="1:19" ht="21" customHeight="1" x14ac:dyDescent="0.3">
      <c r="A141" s="39">
        <f t="shared" si="19"/>
        <v>139</v>
      </c>
      <c r="B141" s="52" t="s">
        <v>386</v>
      </c>
      <c r="C141" s="53">
        <v>46181</v>
      </c>
      <c r="D141" s="47" t="s">
        <v>63</v>
      </c>
      <c r="E141" s="52" t="s">
        <v>387</v>
      </c>
      <c r="F141" s="30">
        <v>69000</v>
      </c>
      <c r="G141" s="30">
        <f t="shared" si="20"/>
        <v>11040</v>
      </c>
      <c r="H141" s="30">
        <f t="shared" si="18"/>
        <v>80040</v>
      </c>
      <c r="I141" s="30" t="s">
        <v>15</v>
      </c>
      <c r="J141" s="53">
        <v>46188</v>
      </c>
      <c r="K141" s="47"/>
      <c r="L141" s="47" t="s">
        <v>77</v>
      </c>
      <c r="M141" s="47" t="s">
        <v>383</v>
      </c>
      <c r="N141" s="14">
        <v>466</v>
      </c>
      <c r="O141" s="54">
        <f t="shared" si="16"/>
        <v>7.2463768115942032E-2</v>
      </c>
      <c r="P141" s="16">
        <v>5000</v>
      </c>
      <c r="Q141" s="16">
        <v>1000</v>
      </c>
      <c r="R141" s="16">
        <v>70000</v>
      </c>
      <c r="S141" s="54">
        <f t="shared" si="17"/>
        <v>1.4285714285714285E-2</v>
      </c>
    </row>
    <row r="142" spans="1:19" ht="21" customHeight="1" x14ac:dyDescent="0.3">
      <c r="A142" s="39">
        <f t="shared" si="19"/>
        <v>140</v>
      </c>
      <c r="B142" s="52" t="s">
        <v>388</v>
      </c>
      <c r="C142" s="53">
        <v>46181</v>
      </c>
      <c r="D142" s="47" t="s">
        <v>63</v>
      </c>
      <c r="E142" s="52" t="s">
        <v>389</v>
      </c>
      <c r="F142" s="30">
        <v>1050</v>
      </c>
      <c r="G142" s="30">
        <f t="shared" si="20"/>
        <v>168</v>
      </c>
      <c r="H142" s="30">
        <f t="shared" si="18"/>
        <v>1218</v>
      </c>
      <c r="I142" s="30" t="s">
        <v>15</v>
      </c>
      <c r="J142" s="53">
        <v>46188</v>
      </c>
      <c r="K142" s="47"/>
      <c r="L142" s="47" t="s">
        <v>71</v>
      </c>
      <c r="M142" s="47" t="s">
        <v>383</v>
      </c>
      <c r="N142" s="14">
        <v>476</v>
      </c>
      <c r="O142" s="54">
        <f t="shared" si="16"/>
        <v>0.14285714285714285</v>
      </c>
      <c r="P142" s="16">
        <v>150</v>
      </c>
      <c r="Q142" s="16">
        <v>150</v>
      </c>
      <c r="R142" s="16">
        <v>1200</v>
      </c>
      <c r="S142" s="54">
        <f t="shared" si="17"/>
        <v>0.125</v>
      </c>
    </row>
    <row r="143" spans="1:19" ht="21" customHeight="1" x14ac:dyDescent="0.3">
      <c r="A143" s="39">
        <f t="shared" si="19"/>
        <v>141</v>
      </c>
      <c r="B143" s="52" t="s">
        <v>390</v>
      </c>
      <c r="C143" s="53">
        <v>46181</v>
      </c>
      <c r="D143" s="47" t="s">
        <v>63</v>
      </c>
      <c r="E143" s="52" t="s">
        <v>391</v>
      </c>
      <c r="F143" s="30">
        <v>69500</v>
      </c>
      <c r="G143" s="30">
        <f t="shared" si="20"/>
        <v>11120</v>
      </c>
      <c r="H143" s="30">
        <f t="shared" si="18"/>
        <v>80620</v>
      </c>
      <c r="I143" s="30" t="s">
        <v>15</v>
      </c>
      <c r="J143" s="53">
        <v>46188</v>
      </c>
      <c r="K143" s="47"/>
      <c r="L143" s="47" t="s">
        <v>77</v>
      </c>
      <c r="M143" s="47" t="s">
        <v>383</v>
      </c>
      <c r="N143" s="14">
        <v>467</v>
      </c>
      <c r="O143" s="54">
        <f t="shared" si="16"/>
        <v>7.1942446043165471E-3</v>
      </c>
      <c r="P143" s="16">
        <v>500</v>
      </c>
      <c r="Q143" s="16">
        <v>500</v>
      </c>
      <c r="R143" s="16">
        <v>70000</v>
      </c>
      <c r="S143" s="54">
        <f t="shared" si="17"/>
        <v>7.1428571428571426E-3</v>
      </c>
    </row>
    <row r="144" spans="1:19" ht="21" customHeight="1" x14ac:dyDescent="0.3">
      <c r="A144" s="39">
        <f t="shared" si="19"/>
        <v>142</v>
      </c>
      <c r="B144" s="52" t="s">
        <v>392</v>
      </c>
      <c r="C144" s="53">
        <v>46181</v>
      </c>
      <c r="D144" s="47" t="s">
        <v>63</v>
      </c>
      <c r="E144" s="52" t="s">
        <v>393</v>
      </c>
      <c r="F144" s="30">
        <v>53950</v>
      </c>
      <c r="G144" s="30">
        <f t="shared" si="20"/>
        <v>8632</v>
      </c>
      <c r="H144" s="30">
        <f t="shared" si="18"/>
        <v>62582</v>
      </c>
      <c r="I144" s="30" t="s">
        <v>15</v>
      </c>
      <c r="J144" s="53">
        <v>46188</v>
      </c>
      <c r="K144" s="47"/>
      <c r="L144" s="47" t="s">
        <v>77</v>
      </c>
      <c r="M144" s="47" t="s">
        <v>383</v>
      </c>
      <c r="N144" s="14">
        <v>470</v>
      </c>
      <c r="O144" s="54">
        <f t="shared" si="16"/>
        <v>7.3215940685820199E-2</v>
      </c>
      <c r="P144" s="16">
        <v>3950</v>
      </c>
      <c r="Q144" s="16">
        <v>1050</v>
      </c>
      <c r="R144" s="16">
        <v>55000</v>
      </c>
      <c r="S144" s="54">
        <f t="shared" si="17"/>
        <v>1.9090909090909092E-2</v>
      </c>
    </row>
    <row r="145" spans="1:19" ht="21" customHeight="1" x14ac:dyDescent="0.3">
      <c r="A145" s="39">
        <f t="shared" si="19"/>
        <v>143</v>
      </c>
      <c r="B145" s="52" t="s">
        <v>394</v>
      </c>
      <c r="C145" s="53">
        <v>46182</v>
      </c>
      <c r="D145" s="47" t="s">
        <v>63</v>
      </c>
      <c r="E145" s="52" t="s">
        <v>395</v>
      </c>
      <c r="F145" s="30">
        <v>6100</v>
      </c>
      <c r="G145" s="30">
        <f t="shared" si="20"/>
        <v>976</v>
      </c>
      <c r="H145" s="30">
        <f t="shared" si="18"/>
        <v>7076</v>
      </c>
      <c r="I145" s="30" t="s">
        <v>15</v>
      </c>
      <c r="J145" s="53">
        <v>46188</v>
      </c>
      <c r="K145" s="47"/>
      <c r="L145" s="47" t="s">
        <v>396</v>
      </c>
      <c r="M145" s="47" t="s">
        <v>397</v>
      </c>
      <c r="N145" s="14">
        <v>473</v>
      </c>
      <c r="O145" s="54">
        <f t="shared" si="16"/>
        <v>0.5901639344262295</v>
      </c>
      <c r="P145" s="16">
        <v>3600</v>
      </c>
      <c r="Q145" s="16">
        <v>900</v>
      </c>
      <c r="R145" s="16">
        <v>7000</v>
      </c>
      <c r="S145" s="54">
        <f t="shared" si="17"/>
        <v>0.12857142857142856</v>
      </c>
    </row>
    <row r="146" spans="1:19" ht="21" customHeight="1" x14ac:dyDescent="0.3">
      <c r="A146" s="39">
        <f t="shared" si="19"/>
        <v>144</v>
      </c>
      <c r="B146" s="52" t="s">
        <v>398</v>
      </c>
      <c r="C146" s="53">
        <v>46182</v>
      </c>
      <c r="D146" s="47" t="s">
        <v>63</v>
      </c>
      <c r="E146" s="52" t="s">
        <v>399</v>
      </c>
      <c r="F146" s="30">
        <v>3300</v>
      </c>
      <c r="G146" s="30">
        <f t="shared" si="20"/>
        <v>528</v>
      </c>
      <c r="H146" s="30">
        <f t="shared" si="18"/>
        <v>3828</v>
      </c>
      <c r="I146" s="30" t="s">
        <v>15</v>
      </c>
      <c r="J146" s="53">
        <v>46188</v>
      </c>
      <c r="K146" s="47"/>
      <c r="L146" s="47" t="s">
        <v>396</v>
      </c>
      <c r="M146" s="47" t="s">
        <v>397</v>
      </c>
      <c r="N146" s="14">
        <v>472</v>
      </c>
      <c r="O146" s="54">
        <f t="shared" si="16"/>
        <v>0.24242424242424243</v>
      </c>
      <c r="P146" s="16">
        <v>800</v>
      </c>
      <c r="Q146" s="16">
        <v>200</v>
      </c>
      <c r="R146" s="16">
        <v>3500</v>
      </c>
      <c r="S146" s="54">
        <f t="shared" si="17"/>
        <v>5.7142857142857141E-2</v>
      </c>
    </row>
    <row r="147" spans="1:19" ht="21" customHeight="1" x14ac:dyDescent="0.3">
      <c r="A147" s="39">
        <f t="shared" si="19"/>
        <v>145</v>
      </c>
      <c r="B147" s="52" t="s">
        <v>400</v>
      </c>
      <c r="C147" s="53">
        <v>46184</v>
      </c>
      <c r="D147" s="47" t="s">
        <v>63</v>
      </c>
      <c r="E147" s="52" t="s">
        <v>401</v>
      </c>
      <c r="F147" s="30">
        <v>52900</v>
      </c>
      <c r="G147" s="30">
        <f t="shared" si="20"/>
        <v>8464</v>
      </c>
      <c r="H147" s="30">
        <f t="shared" si="18"/>
        <v>61364</v>
      </c>
      <c r="I147" s="30" t="s">
        <v>15</v>
      </c>
      <c r="J147" s="53">
        <v>46203</v>
      </c>
      <c r="K147" s="47"/>
      <c r="L147" s="47" t="s">
        <v>212</v>
      </c>
      <c r="M147" s="47" t="s">
        <v>397</v>
      </c>
      <c r="N147" s="47">
        <v>478</v>
      </c>
      <c r="O147" s="54">
        <f t="shared" si="16"/>
        <v>8.3175803402646506E-2</v>
      </c>
      <c r="P147" s="16">
        <v>4400</v>
      </c>
      <c r="Q147" s="16">
        <v>1100</v>
      </c>
      <c r="R147" s="16">
        <v>54000</v>
      </c>
      <c r="S147" s="54">
        <f t="shared" si="17"/>
        <v>2.0370370370370372E-2</v>
      </c>
    </row>
    <row r="148" spans="1:19" ht="21" customHeight="1" x14ac:dyDescent="0.3">
      <c r="A148" s="39">
        <f t="shared" si="19"/>
        <v>146</v>
      </c>
      <c r="B148" s="52" t="s">
        <v>402</v>
      </c>
      <c r="C148" s="53">
        <v>46184</v>
      </c>
      <c r="D148" s="47" t="s">
        <v>63</v>
      </c>
      <c r="E148" s="52" t="s">
        <v>403</v>
      </c>
      <c r="F148" s="30">
        <v>42000</v>
      </c>
      <c r="G148" s="30">
        <f t="shared" si="20"/>
        <v>6720</v>
      </c>
      <c r="H148" s="30">
        <f t="shared" si="18"/>
        <v>48720</v>
      </c>
      <c r="I148" s="30" t="s">
        <v>15</v>
      </c>
      <c r="J148" s="53">
        <v>46203</v>
      </c>
      <c r="K148" s="47"/>
      <c r="L148" s="47" t="s">
        <v>212</v>
      </c>
      <c r="M148" s="47" t="s">
        <v>220</v>
      </c>
      <c r="N148" s="47">
        <v>462</v>
      </c>
      <c r="O148" s="54">
        <f t="shared" si="16"/>
        <v>9.5238095238095233E-2</v>
      </c>
      <c r="P148" s="16">
        <v>4000</v>
      </c>
      <c r="Q148" s="16">
        <v>1000</v>
      </c>
      <c r="R148" s="16">
        <v>43000</v>
      </c>
      <c r="S148" s="54">
        <f t="shared" si="17"/>
        <v>2.3255813953488372E-2</v>
      </c>
    </row>
    <row r="149" spans="1:19" ht="21" customHeight="1" x14ac:dyDescent="0.3">
      <c r="A149" s="39">
        <f t="shared" si="19"/>
        <v>147</v>
      </c>
      <c r="B149" s="52" t="s">
        <v>404</v>
      </c>
      <c r="C149" s="53">
        <v>46184</v>
      </c>
      <c r="D149" s="47" t="s">
        <v>63</v>
      </c>
      <c r="E149" s="52" t="s">
        <v>405</v>
      </c>
      <c r="F149" s="30">
        <v>29000</v>
      </c>
      <c r="G149" s="30">
        <f t="shared" si="20"/>
        <v>4640</v>
      </c>
      <c r="H149" s="30">
        <f t="shared" si="18"/>
        <v>33640</v>
      </c>
      <c r="I149" s="30" t="s">
        <v>15</v>
      </c>
      <c r="J149" s="53">
        <v>46203</v>
      </c>
      <c r="K149" s="47"/>
      <c r="L149" s="47" t="s">
        <v>212</v>
      </c>
      <c r="M149" s="47" t="s">
        <v>220</v>
      </c>
      <c r="N149" s="47">
        <v>463</v>
      </c>
      <c r="O149" s="54">
        <f t="shared" si="16"/>
        <v>0.13793103448275862</v>
      </c>
      <c r="P149" s="16">
        <v>4000</v>
      </c>
      <c r="Q149" s="16">
        <v>1000</v>
      </c>
      <c r="R149" s="16">
        <v>30000</v>
      </c>
      <c r="S149" s="54">
        <f t="shared" si="17"/>
        <v>3.3333333333333333E-2</v>
      </c>
    </row>
    <row r="150" spans="1:19" ht="21" customHeight="1" x14ac:dyDescent="0.3">
      <c r="A150" s="39">
        <f t="shared" si="19"/>
        <v>148</v>
      </c>
      <c r="B150" s="52" t="s">
        <v>406</v>
      </c>
      <c r="C150" s="53">
        <v>46184</v>
      </c>
      <c r="D150" s="47" t="s">
        <v>63</v>
      </c>
      <c r="E150" s="52" t="s">
        <v>407</v>
      </c>
      <c r="F150" s="30">
        <v>65800</v>
      </c>
      <c r="G150" s="30">
        <f t="shared" si="20"/>
        <v>10528</v>
      </c>
      <c r="H150" s="30">
        <f t="shared" si="18"/>
        <v>76328</v>
      </c>
      <c r="I150" s="30" t="s">
        <v>15</v>
      </c>
      <c r="J150" s="53">
        <v>46203</v>
      </c>
      <c r="K150" s="47"/>
      <c r="L150" s="47" t="s">
        <v>212</v>
      </c>
      <c r="M150" s="47" t="s">
        <v>220</v>
      </c>
      <c r="N150" s="47">
        <v>468</v>
      </c>
      <c r="O150" s="54">
        <f t="shared" si="16"/>
        <v>7.29483282674772E-2</v>
      </c>
      <c r="P150" s="16">
        <v>4800</v>
      </c>
      <c r="Q150" s="16">
        <v>1200</v>
      </c>
      <c r="R150" s="16">
        <v>67000</v>
      </c>
      <c r="S150" s="54">
        <f t="shared" si="17"/>
        <v>1.7910447761194031E-2</v>
      </c>
    </row>
    <row r="151" spans="1:19" ht="21" customHeight="1" x14ac:dyDescent="0.3">
      <c r="A151" s="39">
        <f t="shared" si="19"/>
        <v>149</v>
      </c>
      <c r="B151" s="52" t="s">
        <v>408</v>
      </c>
      <c r="C151" s="53">
        <v>46184</v>
      </c>
      <c r="D151" s="47" t="s">
        <v>63</v>
      </c>
      <c r="E151" s="52" t="s">
        <v>409</v>
      </c>
      <c r="F151" s="30">
        <v>65800</v>
      </c>
      <c r="G151" s="30">
        <f t="shared" si="20"/>
        <v>10528</v>
      </c>
      <c r="H151" s="30">
        <f t="shared" si="18"/>
        <v>76328</v>
      </c>
      <c r="I151" s="30" t="s">
        <v>15</v>
      </c>
      <c r="J151" s="53">
        <v>46203</v>
      </c>
      <c r="K151" s="47"/>
      <c r="L151" s="47" t="s">
        <v>212</v>
      </c>
      <c r="M151" s="47" t="s">
        <v>220</v>
      </c>
      <c r="N151" s="47">
        <v>469</v>
      </c>
      <c r="O151" s="54">
        <f t="shared" si="16"/>
        <v>7.29483282674772E-2</v>
      </c>
      <c r="P151" s="16">
        <v>4800</v>
      </c>
      <c r="Q151" s="16">
        <v>1200</v>
      </c>
      <c r="R151" s="16">
        <v>67000</v>
      </c>
      <c r="S151" s="54">
        <f t="shared" si="17"/>
        <v>1.7910447761194031E-2</v>
      </c>
    </row>
    <row r="152" spans="1:19" ht="21" customHeight="1" x14ac:dyDescent="0.3">
      <c r="A152" s="39">
        <f t="shared" si="19"/>
        <v>150</v>
      </c>
      <c r="B152" s="52" t="s">
        <v>410</v>
      </c>
      <c r="C152" s="53">
        <v>46184</v>
      </c>
      <c r="D152" s="47" t="s">
        <v>63</v>
      </c>
      <c r="E152" s="52" t="s">
        <v>411</v>
      </c>
      <c r="F152" s="30">
        <v>525</v>
      </c>
      <c r="G152" s="30">
        <f t="shared" si="20"/>
        <v>84</v>
      </c>
      <c r="H152" s="30">
        <f t="shared" si="18"/>
        <v>609</v>
      </c>
      <c r="I152" s="30" t="s">
        <v>15</v>
      </c>
      <c r="J152" s="53">
        <v>46203</v>
      </c>
      <c r="K152" s="47"/>
      <c r="L152" s="47" t="s">
        <v>71</v>
      </c>
      <c r="M152" s="47" t="s">
        <v>397</v>
      </c>
      <c r="N152" s="47">
        <v>478</v>
      </c>
      <c r="O152" s="54">
        <f t="shared" si="16"/>
        <v>0.2857142857142857</v>
      </c>
      <c r="P152" s="16">
        <v>150</v>
      </c>
      <c r="Q152" s="16">
        <v>75</v>
      </c>
      <c r="R152" s="16">
        <v>600</v>
      </c>
      <c r="S152" s="54">
        <f t="shared" si="17"/>
        <v>0.125</v>
      </c>
    </row>
    <row r="153" spans="1:19" ht="21" customHeight="1" x14ac:dyDescent="0.3">
      <c r="A153" s="39">
        <f t="shared" si="19"/>
        <v>151</v>
      </c>
      <c r="B153" s="52" t="s">
        <v>412</v>
      </c>
      <c r="C153" s="53">
        <v>46184</v>
      </c>
      <c r="D153" s="47" t="s">
        <v>106</v>
      </c>
      <c r="E153" s="52" t="s">
        <v>150</v>
      </c>
      <c r="F153" s="30">
        <v>1950</v>
      </c>
      <c r="G153" s="30">
        <f t="shared" si="20"/>
        <v>312</v>
      </c>
      <c r="H153" s="30">
        <f t="shared" si="18"/>
        <v>2262</v>
      </c>
      <c r="I153" s="30" t="s">
        <v>15</v>
      </c>
      <c r="J153" s="53">
        <v>46188</v>
      </c>
      <c r="K153" s="47"/>
      <c r="L153" s="47" t="s">
        <v>299</v>
      </c>
      <c r="M153" s="47" t="s">
        <v>150</v>
      </c>
      <c r="N153" s="47" t="s">
        <v>150</v>
      </c>
      <c r="O153" s="54">
        <f t="shared" si="16"/>
        <v>1</v>
      </c>
      <c r="P153" s="16">
        <v>1950</v>
      </c>
      <c r="Q153" s="16">
        <v>0</v>
      </c>
      <c r="R153" s="16">
        <v>0</v>
      </c>
      <c r="S153" s="54">
        <v>0</v>
      </c>
    </row>
    <row r="154" spans="1:19" ht="21" customHeight="1" x14ac:dyDescent="0.3">
      <c r="A154" s="39">
        <f t="shared" si="19"/>
        <v>152</v>
      </c>
      <c r="B154" s="52" t="s">
        <v>413</v>
      </c>
      <c r="C154" s="53">
        <v>46186</v>
      </c>
      <c r="D154" s="47" t="s">
        <v>63</v>
      </c>
      <c r="E154" s="52" t="s">
        <v>365</v>
      </c>
      <c r="F154" s="30">
        <v>4620</v>
      </c>
      <c r="G154" s="30">
        <f t="shared" si="20"/>
        <v>739.2</v>
      </c>
      <c r="H154" s="30">
        <f t="shared" si="18"/>
        <v>5359.2</v>
      </c>
      <c r="I154" s="30" t="s">
        <v>15</v>
      </c>
      <c r="J154" s="53">
        <v>46188</v>
      </c>
      <c r="K154" s="47"/>
      <c r="L154" s="47" t="s">
        <v>65</v>
      </c>
      <c r="M154" s="47" t="s">
        <v>260</v>
      </c>
      <c r="N154" s="47">
        <v>458</v>
      </c>
      <c r="O154" s="54">
        <f t="shared" si="16"/>
        <v>0.35064935064935066</v>
      </c>
      <c r="P154" s="16">
        <v>1620</v>
      </c>
      <c r="Q154" s="16">
        <v>280</v>
      </c>
      <c r="R154" s="16">
        <v>4900</v>
      </c>
      <c r="S154" s="54">
        <f t="shared" ref="S154:S184" si="21">Q154/R154</f>
        <v>5.7142857142857141E-2</v>
      </c>
    </row>
    <row r="155" spans="1:19" ht="21" customHeight="1" x14ac:dyDescent="0.3">
      <c r="A155" s="39">
        <f t="shared" si="19"/>
        <v>153</v>
      </c>
      <c r="B155" s="52" t="s">
        <v>414</v>
      </c>
      <c r="C155" s="53">
        <v>46186</v>
      </c>
      <c r="D155" s="47" t="s">
        <v>63</v>
      </c>
      <c r="E155" s="52" t="s">
        <v>367</v>
      </c>
      <c r="F155" s="30">
        <v>36160</v>
      </c>
      <c r="G155" s="30">
        <f t="shared" si="20"/>
        <v>5785.6</v>
      </c>
      <c r="H155" s="30">
        <f t="shared" si="18"/>
        <v>41945.599999999999</v>
      </c>
      <c r="I155" s="30" t="s">
        <v>15</v>
      </c>
      <c r="J155" s="53">
        <v>46188</v>
      </c>
      <c r="K155" s="47"/>
      <c r="L155" s="47" t="s">
        <v>77</v>
      </c>
      <c r="M155" s="47" t="s">
        <v>260</v>
      </c>
      <c r="N155" s="47">
        <v>458</v>
      </c>
      <c r="O155" s="54">
        <f t="shared" si="16"/>
        <v>0.33628318584070799</v>
      </c>
      <c r="P155" s="16">
        <v>12160</v>
      </c>
      <c r="Q155" s="16">
        <v>3040</v>
      </c>
      <c r="R155" s="16">
        <v>39200</v>
      </c>
      <c r="S155" s="54">
        <f t="shared" si="21"/>
        <v>7.7551020408163265E-2</v>
      </c>
    </row>
    <row r="156" spans="1:19" ht="21" customHeight="1" x14ac:dyDescent="0.3">
      <c r="A156" s="39">
        <f t="shared" si="19"/>
        <v>154</v>
      </c>
      <c r="B156" s="52" t="s">
        <v>415</v>
      </c>
      <c r="C156" s="53">
        <v>46186</v>
      </c>
      <c r="D156" s="47" t="s">
        <v>63</v>
      </c>
      <c r="E156" s="52" t="s">
        <v>369</v>
      </c>
      <c r="F156" s="30">
        <v>4200</v>
      </c>
      <c r="G156" s="30">
        <f t="shared" si="20"/>
        <v>672</v>
      </c>
      <c r="H156" s="30">
        <f t="shared" si="18"/>
        <v>4872</v>
      </c>
      <c r="I156" s="30" t="s">
        <v>15</v>
      </c>
      <c r="J156" s="53">
        <v>46188</v>
      </c>
      <c r="K156" s="47"/>
      <c r="L156" s="47" t="s">
        <v>71</v>
      </c>
      <c r="M156" s="47" t="s">
        <v>220</v>
      </c>
      <c r="N156" s="47">
        <v>436</v>
      </c>
      <c r="O156" s="54">
        <f t="shared" si="16"/>
        <v>0.14285714285714285</v>
      </c>
      <c r="P156" s="16">
        <v>600</v>
      </c>
      <c r="Q156" s="16">
        <v>600</v>
      </c>
      <c r="R156" s="16">
        <v>4800</v>
      </c>
      <c r="S156" s="54">
        <f t="shared" si="21"/>
        <v>0.125</v>
      </c>
    </row>
    <row r="157" spans="1:19" ht="21" customHeight="1" x14ac:dyDescent="0.3">
      <c r="A157" s="39">
        <f t="shared" si="19"/>
        <v>155</v>
      </c>
      <c r="B157" s="52" t="s">
        <v>416</v>
      </c>
      <c r="C157" s="53">
        <v>46186</v>
      </c>
      <c r="D157" s="47" t="s">
        <v>63</v>
      </c>
      <c r="E157" s="52" t="s">
        <v>371</v>
      </c>
      <c r="F157" s="30">
        <v>41750</v>
      </c>
      <c r="G157" s="30">
        <f t="shared" si="20"/>
        <v>6680</v>
      </c>
      <c r="H157" s="30">
        <f t="shared" si="18"/>
        <v>48430</v>
      </c>
      <c r="I157" s="30" t="s">
        <v>15</v>
      </c>
      <c r="J157" s="53">
        <v>46188</v>
      </c>
      <c r="K157" s="47"/>
      <c r="L157" s="47" t="s">
        <v>372</v>
      </c>
      <c r="M157" s="47" t="s">
        <v>220</v>
      </c>
      <c r="N157" s="47">
        <v>431</v>
      </c>
      <c r="O157" s="54">
        <f t="shared" ref="O157:O220" si="22">P157/F157</f>
        <v>4.1916167664670656E-2</v>
      </c>
      <c r="P157" s="16">
        <v>1750</v>
      </c>
      <c r="Q157" s="16">
        <v>750</v>
      </c>
      <c r="R157" s="16">
        <v>42500</v>
      </c>
      <c r="S157" s="54">
        <f t="shared" si="21"/>
        <v>1.7647058823529412E-2</v>
      </c>
    </row>
    <row r="158" spans="1:19" ht="21" customHeight="1" x14ac:dyDescent="0.3">
      <c r="A158" s="39">
        <f t="shared" si="19"/>
        <v>156</v>
      </c>
      <c r="B158" s="52" t="s">
        <v>417</v>
      </c>
      <c r="C158" s="53">
        <v>46186</v>
      </c>
      <c r="D158" s="47" t="s">
        <v>63</v>
      </c>
      <c r="E158" s="52" t="s">
        <v>376</v>
      </c>
      <c r="F158" s="30">
        <v>2550</v>
      </c>
      <c r="G158" s="30">
        <f t="shared" si="20"/>
        <v>408</v>
      </c>
      <c r="H158" s="30">
        <f t="shared" si="18"/>
        <v>2958</v>
      </c>
      <c r="I158" s="30" t="s">
        <v>15</v>
      </c>
      <c r="J158" s="53">
        <v>46188</v>
      </c>
      <c r="K158" s="47"/>
      <c r="L158" s="47" t="s">
        <v>65</v>
      </c>
      <c r="M158" s="47" t="s">
        <v>260</v>
      </c>
      <c r="N158" s="47">
        <v>460</v>
      </c>
      <c r="O158" s="54">
        <f t="shared" si="22"/>
        <v>0.13725490196078433</v>
      </c>
      <c r="P158" s="16">
        <v>350</v>
      </c>
      <c r="Q158" s="16">
        <v>150</v>
      </c>
      <c r="R158" s="16">
        <v>2700</v>
      </c>
      <c r="S158" s="54">
        <f t="shared" si="21"/>
        <v>5.5555555555555552E-2</v>
      </c>
    </row>
    <row r="159" spans="1:19" ht="21" customHeight="1" x14ac:dyDescent="0.3">
      <c r="A159" s="39">
        <f t="shared" si="19"/>
        <v>157</v>
      </c>
      <c r="B159" s="52" t="s">
        <v>418</v>
      </c>
      <c r="C159" s="53">
        <v>46186</v>
      </c>
      <c r="D159" s="47" t="s">
        <v>63</v>
      </c>
      <c r="E159" s="52" t="s">
        <v>378</v>
      </c>
      <c r="F159" s="30">
        <v>70800</v>
      </c>
      <c r="G159" s="30">
        <f t="shared" si="20"/>
        <v>11328</v>
      </c>
      <c r="H159" s="30">
        <f t="shared" si="18"/>
        <v>82128</v>
      </c>
      <c r="I159" s="30" t="s">
        <v>15</v>
      </c>
      <c r="J159" s="53">
        <v>46188</v>
      </c>
      <c r="K159" s="47"/>
      <c r="L159" s="47" t="s">
        <v>77</v>
      </c>
      <c r="M159" s="47" t="s">
        <v>220</v>
      </c>
      <c r="N159" s="47">
        <v>444</v>
      </c>
      <c r="O159" s="54">
        <f t="shared" si="22"/>
        <v>6.7796610169491525E-2</v>
      </c>
      <c r="P159" s="16">
        <v>4800</v>
      </c>
      <c r="Q159" s="16">
        <v>1200</v>
      </c>
      <c r="R159" s="16">
        <v>72000</v>
      </c>
      <c r="S159" s="54">
        <f t="shared" si="21"/>
        <v>1.6666666666666666E-2</v>
      </c>
    </row>
    <row r="160" spans="1:19" ht="21" customHeight="1" x14ac:dyDescent="0.3">
      <c r="A160" s="39">
        <f t="shared" si="19"/>
        <v>158</v>
      </c>
      <c r="B160" s="52" t="s">
        <v>419</v>
      </c>
      <c r="C160" s="53">
        <v>46186</v>
      </c>
      <c r="D160" s="47" t="s">
        <v>63</v>
      </c>
      <c r="E160" s="52" t="s">
        <v>380</v>
      </c>
      <c r="F160" s="30">
        <v>525</v>
      </c>
      <c r="G160" s="30">
        <f t="shared" si="20"/>
        <v>84</v>
      </c>
      <c r="H160" s="30">
        <f t="shared" si="18"/>
        <v>609</v>
      </c>
      <c r="I160" s="30" t="s">
        <v>15</v>
      </c>
      <c r="J160" s="53">
        <v>46188</v>
      </c>
      <c r="K160" s="47"/>
      <c r="L160" s="47" t="s">
        <v>71</v>
      </c>
      <c r="M160" s="47" t="s">
        <v>220</v>
      </c>
      <c r="N160" s="47">
        <v>443</v>
      </c>
      <c r="O160" s="54">
        <f t="shared" si="22"/>
        <v>0.2857142857142857</v>
      </c>
      <c r="P160" s="16">
        <v>150</v>
      </c>
      <c r="Q160" s="16">
        <v>150</v>
      </c>
      <c r="R160" s="16">
        <v>600</v>
      </c>
      <c r="S160" s="54">
        <f t="shared" si="21"/>
        <v>0.25</v>
      </c>
    </row>
    <row r="161" spans="1:19" ht="21" customHeight="1" x14ac:dyDescent="0.3">
      <c r="A161" s="39">
        <f t="shared" si="19"/>
        <v>159</v>
      </c>
      <c r="B161" s="52" t="s">
        <v>420</v>
      </c>
      <c r="C161" s="53">
        <v>46186</v>
      </c>
      <c r="D161" s="47" t="s">
        <v>63</v>
      </c>
      <c r="E161" s="52" t="s">
        <v>382</v>
      </c>
      <c r="F161" s="30">
        <v>104100</v>
      </c>
      <c r="G161" s="30">
        <f t="shared" si="20"/>
        <v>16656</v>
      </c>
      <c r="H161" s="30">
        <f t="shared" si="18"/>
        <v>120756</v>
      </c>
      <c r="I161" s="30" t="s">
        <v>15</v>
      </c>
      <c r="J161" s="53">
        <v>46188</v>
      </c>
      <c r="K161" s="47"/>
      <c r="L161" s="47" t="s">
        <v>77</v>
      </c>
      <c r="M161" s="47" t="s">
        <v>383</v>
      </c>
      <c r="N161" s="47">
        <v>463</v>
      </c>
      <c r="O161" s="54">
        <f t="shared" si="22"/>
        <v>0.12584053794428435</v>
      </c>
      <c r="P161" s="16">
        <v>13100</v>
      </c>
      <c r="Q161" s="16">
        <v>1900</v>
      </c>
      <c r="R161" s="16">
        <v>106000</v>
      </c>
      <c r="S161" s="54">
        <f t="shared" si="21"/>
        <v>1.7924528301886792E-2</v>
      </c>
    </row>
    <row r="162" spans="1:19" ht="21" customHeight="1" x14ac:dyDescent="0.3">
      <c r="A162" s="39">
        <f>A153+1</f>
        <v>152</v>
      </c>
      <c r="B162" s="52" t="s">
        <v>421</v>
      </c>
      <c r="C162" s="53">
        <v>46192</v>
      </c>
      <c r="D162" s="47" t="s">
        <v>63</v>
      </c>
      <c r="E162" s="52" t="s">
        <v>422</v>
      </c>
      <c r="F162" s="30">
        <v>2100</v>
      </c>
      <c r="G162" s="30">
        <f t="shared" si="20"/>
        <v>336</v>
      </c>
      <c r="H162" s="30">
        <f t="shared" si="18"/>
        <v>2436</v>
      </c>
      <c r="I162" s="30" t="s">
        <v>15</v>
      </c>
      <c r="J162" s="53">
        <v>46203</v>
      </c>
      <c r="K162" s="47"/>
      <c r="L162" s="47" t="s">
        <v>71</v>
      </c>
      <c r="M162" s="47" t="s">
        <v>220</v>
      </c>
      <c r="N162" s="47">
        <v>473</v>
      </c>
      <c r="O162" s="54">
        <f t="shared" si="22"/>
        <v>0.14285714285714285</v>
      </c>
      <c r="P162" s="16">
        <v>300</v>
      </c>
      <c r="Q162" s="16">
        <v>3000</v>
      </c>
      <c r="R162" s="16">
        <v>2400</v>
      </c>
      <c r="S162" s="54">
        <f t="shared" si="21"/>
        <v>1.25</v>
      </c>
    </row>
    <row r="163" spans="1:19" ht="21" customHeight="1" x14ac:dyDescent="0.3">
      <c r="A163" s="39">
        <f t="shared" si="19"/>
        <v>153</v>
      </c>
      <c r="B163" s="52" t="s">
        <v>423</v>
      </c>
      <c r="C163" s="53">
        <v>46192</v>
      </c>
      <c r="D163" s="47" t="s">
        <v>63</v>
      </c>
      <c r="E163" s="52" t="s">
        <v>424</v>
      </c>
      <c r="F163" s="30">
        <v>20560</v>
      </c>
      <c r="G163" s="30">
        <f t="shared" si="20"/>
        <v>3289.6</v>
      </c>
      <c r="H163" s="30">
        <f t="shared" si="18"/>
        <v>23849.599999999999</v>
      </c>
      <c r="I163" s="30" t="s">
        <v>15</v>
      </c>
      <c r="J163" s="53">
        <v>46203</v>
      </c>
      <c r="K163" s="47"/>
      <c r="L163" s="47" t="s">
        <v>246</v>
      </c>
      <c r="M163" s="47" t="s">
        <v>150</v>
      </c>
      <c r="N163" s="47">
        <v>0</v>
      </c>
      <c r="O163" s="54">
        <f t="shared" si="22"/>
        <v>1.0700389105058365</v>
      </c>
      <c r="P163" s="16">
        <v>22000</v>
      </c>
      <c r="Q163" s="16">
        <v>1440</v>
      </c>
      <c r="R163" s="16">
        <v>2200</v>
      </c>
      <c r="S163" s="54">
        <f t="shared" si="21"/>
        <v>0.65454545454545454</v>
      </c>
    </row>
    <row r="164" spans="1:19" ht="21" customHeight="1" x14ac:dyDescent="0.3">
      <c r="A164" s="39">
        <f t="shared" si="19"/>
        <v>154</v>
      </c>
      <c r="B164" s="52" t="s">
        <v>425</v>
      </c>
      <c r="C164" s="53">
        <v>46192</v>
      </c>
      <c r="D164" s="47" t="s">
        <v>63</v>
      </c>
      <c r="E164" s="52" t="s">
        <v>426</v>
      </c>
      <c r="F164" s="30">
        <v>65140</v>
      </c>
      <c r="G164" s="30">
        <f t="shared" si="20"/>
        <v>10422.4</v>
      </c>
      <c r="H164" s="30">
        <f t="shared" si="18"/>
        <v>75562.399999999994</v>
      </c>
      <c r="I164" s="30" t="s">
        <v>15</v>
      </c>
      <c r="J164" s="53">
        <v>46203</v>
      </c>
      <c r="K164" s="47"/>
      <c r="L164" s="47" t="s">
        <v>77</v>
      </c>
      <c r="M164" s="47" t="s">
        <v>383</v>
      </c>
      <c r="N164" s="47">
        <v>484</v>
      </c>
      <c r="O164" s="54">
        <f t="shared" si="22"/>
        <v>0.355234878722751</v>
      </c>
      <c r="P164" s="16">
        <v>23140</v>
      </c>
      <c r="Q164" s="16">
        <v>3460</v>
      </c>
      <c r="R164" s="16">
        <v>68600</v>
      </c>
      <c r="S164" s="54">
        <f t="shared" si="21"/>
        <v>5.0437317784256558E-2</v>
      </c>
    </row>
    <row r="165" spans="1:19" ht="21" customHeight="1" x14ac:dyDescent="0.3">
      <c r="A165" s="39">
        <f t="shared" si="19"/>
        <v>155</v>
      </c>
      <c r="B165" s="52" t="s">
        <v>427</v>
      </c>
      <c r="C165" s="53">
        <v>46192</v>
      </c>
      <c r="D165" s="47" t="s">
        <v>63</v>
      </c>
      <c r="E165" s="52" t="s">
        <v>428</v>
      </c>
      <c r="F165" s="30">
        <v>69000</v>
      </c>
      <c r="G165" s="30">
        <f t="shared" si="20"/>
        <v>11040</v>
      </c>
      <c r="H165" s="30">
        <f t="shared" si="18"/>
        <v>80040</v>
      </c>
      <c r="I165" s="30" t="s">
        <v>15</v>
      </c>
      <c r="J165" s="53">
        <v>46203</v>
      </c>
      <c r="K165" s="47"/>
      <c r="L165" s="47" t="s">
        <v>77</v>
      </c>
      <c r="M165" s="47" t="s">
        <v>383</v>
      </c>
      <c r="N165" s="47">
        <v>487</v>
      </c>
      <c r="O165" s="54">
        <f t="shared" si="22"/>
        <v>5.7971014492753624E-2</v>
      </c>
      <c r="P165" s="16">
        <v>4000</v>
      </c>
      <c r="Q165" s="16">
        <v>1000</v>
      </c>
      <c r="R165" s="16">
        <v>70000</v>
      </c>
      <c r="S165" s="54">
        <f t="shared" si="21"/>
        <v>1.4285714285714285E-2</v>
      </c>
    </row>
    <row r="166" spans="1:19" ht="21" customHeight="1" x14ac:dyDescent="0.3">
      <c r="A166" s="39">
        <f t="shared" si="19"/>
        <v>156</v>
      </c>
      <c r="B166" s="52" t="s">
        <v>429</v>
      </c>
      <c r="C166" s="53">
        <v>46192</v>
      </c>
      <c r="D166" s="47" t="s">
        <v>63</v>
      </c>
      <c r="E166" s="52" t="s">
        <v>430</v>
      </c>
      <c r="F166" s="30">
        <v>69000</v>
      </c>
      <c r="G166" s="30">
        <f t="shared" si="20"/>
        <v>11040</v>
      </c>
      <c r="H166" s="30">
        <f t="shared" si="18"/>
        <v>80040</v>
      </c>
      <c r="I166" s="30" t="s">
        <v>15</v>
      </c>
      <c r="J166" s="53">
        <v>46203</v>
      </c>
      <c r="K166" s="47"/>
      <c r="L166" s="47" t="s">
        <v>77</v>
      </c>
      <c r="M166" s="47" t="s">
        <v>383</v>
      </c>
      <c r="N166" s="47">
        <v>488</v>
      </c>
      <c r="O166" s="54">
        <f t="shared" si="22"/>
        <v>5.7971014492753624E-2</v>
      </c>
      <c r="P166" s="16">
        <v>4000</v>
      </c>
      <c r="Q166" s="16">
        <v>1000</v>
      </c>
      <c r="R166" s="16">
        <v>70000</v>
      </c>
      <c r="S166" s="54">
        <f t="shared" si="21"/>
        <v>1.4285714285714285E-2</v>
      </c>
    </row>
    <row r="167" spans="1:19" ht="21" customHeight="1" x14ac:dyDescent="0.3">
      <c r="A167" s="39">
        <f t="shared" si="19"/>
        <v>157</v>
      </c>
      <c r="B167" s="52" t="s">
        <v>431</v>
      </c>
      <c r="C167" s="53">
        <v>46192</v>
      </c>
      <c r="D167" s="47" t="s">
        <v>63</v>
      </c>
      <c r="E167" s="52" t="s">
        <v>432</v>
      </c>
      <c r="F167" s="30">
        <v>69000</v>
      </c>
      <c r="G167" s="30">
        <f t="shared" si="20"/>
        <v>11040</v>
      </c>
      <c r="H167" s="30">
        <f t="shared" si="18"/>
        <v>80040</v>
      </c>
      <c r="I167" s="30" t="s">
        <v>15</v>
      </c>
      <c r="J167" s="53">
        <v>46203</v>
      </c>
      <c r="K167" s="47"/>
      <c r="L167" s="47" t="s">
        <v>77</v>
      </c>
      <c r="M167" s="47" t="s">
        <v>383</v>
      </c>
      <c r="N167" s="47">
        <v>489</v>
      </c>
      <c r="O167" s="54">
        <f t="shared" si="22"/>
        <v>5.7971014492753624E-2</v>
      </c>
      <c r="P167" s="16">
        <v>4000</v>
      </c>
      <c r="Q167" s="16">
        <v>1000</v>
      </c>
      <c r="R167" s="16">
        <v>70000</v>
      </c>
      <c r="S167" s="54">
        <f t="shared" si="21"/>
        <v>1.4285714285714285E-2</v>
      </c>
    </row>
    <row r="168" spans="1:19" ht="21" customHeight="1" x14ac:dyDescent="0.3">
      <c r="A168" s="39">
        <f t="shared" si="19"/>
        <v>158</v>
      </c>
      <c r="B168" s="52" t="s">
        <v>433</v>
      </c>
      <c r="C168" s="53">
        <v>46192</v>
      </c>
      <c r="D168" s="47" t="s">
        <v>63</v>
      </c>
      <c r="E168" s="52" t="s">
        <v>434</v>
      </c>
      <c r="F168" s="30">
        <v>69000</v>
      </c>
      <c r="G168" s="30">
        <f t="shared" si="20"/>
        <v>11040</v>
      </c>
      <c r="H168" s="30">
        <f t="shared" si="18"/>
        <v>80040</v>
      </c>
      <c r="I168" s="30" t="s">
        <v>15</v>
      </c>
      <c r="J168" s="53">
        <v>46203</v>
      </c>
      <c r="K168" s="47"/>
      <c r="L168" s="47" t="s">
        <v>77</v>
      </c>
      <c r="M168" s="47" t="s">
        <v>383</v>
      </c>
      <c r="N168" s="47">
        <v>490</v>
      </c>
      <c r="O168" s="54">
        <f t="shared" si="22"/>
        <v>5.7971014492753624E-2</v>
      </c>
      <c r="P168" s="16">
        <v>4000</v>
      </c>
      <c r="Q168" s="16">
        <v>1000</v>
      </c>
      <c r="R168" s="16">
        <v>70000</v>
      </c>
      <c r="S168" s="54">
        <f t="shared" si="21"/>
        <v>1.4285714285714285E-2</v>
      </c>
    </row>
    <row r="169" spans="1:19" ht="21" customHeight="1" x14ac:dyDescent="0.3">
      <c r="A169" s="39">
        <f t="shared" si="19"/>
        <v>159</v>
      </c>
      <c r="B169" s="52" t="s">
        <v>435</v>
      </c>
      <c r="C169" s="53">
        <v>46192</v>
      </c>
      <c r="D169" s="47" t="s">
        <v>63</v>
      </c>
      <c r="E169" s="52" t="s">
        <v>436</v>
      </c>
      <c r="F169" s="30">
        <v>70750</v>
      </c>
      <c r="G169" s="30">
        <f t="shared" si="20"/>
        <v>11320</v>
      </c>
      <c r="H169" s="30">
        <f t="shared" si="18"/>
        <v>82070</v>
      </c>
      <c r="I169" s="30" t="s">
        <v>15</v>
      </c>
      <c r="J169" s="53">
        <v>46203</v>
      </c>
      <c r="K169" s="47"/>
      <c r="L169" s="47" t="s">
        <v>77</v>
      </c>
      <c r="M169" s="47" t="s">
        <v>383</v>
      </c>
      <c r="N169" s="47">
        <v>486</v>
      </c>
      <c r="O169" s="54">
        <f t="shared" si="22"/>
        <v>8.8339222614840993E-2</v>
      </c>
      <c r="P169" s="16">
        <v>6250</v>
      </c>
      <c r="Q169" s="16">
        <v>1250</v>
      </c>
      <c r="R169" s="16">
        <v>72000</v>
      </c>
      <c r="S169" s="54">
        <f t="shared" si="21"/>
        <v>1.7361111111111112E-2</v>
      </c>
    </row>
    <row r="170" spans="1:19" ht="21" customHeight="1" x14ac:dyDescent="0.3">
      <c r="A170" s="39">
        <f t="shared" si="19"/>
        <v>160</v>
      </c>
      <c r="B170" s="52" t="s">
        <v>437</v>
      </c>
      <c r="C170" s="53">
        <v>46192</v>
      </c>
      <c r="D170" s="47" t="s">
        <v>63</v>
      </c>
      <c r="E170" s="52" t="s">
        <v>438</v>
      </c>
      <c r="F170" s="74">
        <v>53750</v>
      </c>
      <c r="G170" s="74">
        <f t="shared" si="20"/>
        <v>8600</v>
      </c>
      <c r="H170" s="74">
        <f t="shared" si="18"/>
        <v>62350</v>
      </c>
      <c r="I170" s="30" t="s">
        <v>15</v>
      </c>
      <c r="J170" s="72">
        <v>46203</v>
      </c>
      <c r="K170" s="73"/>
      <c r="L170" s="73" t="s">
        <v>77</v>
      </c>
      <c r="M170" s="73" t="s">
        <v>220</v>
      </c>
      <c r="N170" s="73">
        <v>480</v>
      </c>
      <c r="O170" s="54">
        <f t="shared" si="22"/>
        <v>0.14418604651162792</v>
      </c>
      <c r="P170" s="16">
        <v>7750</v>
      </c>
      <c r="Q170" s="16">
        <v>1250</v>
      </c>
      <c r="R170" s="16">
        <v>55000</v>
      </c>
      <c r="S170" s="54">
        <f t="shared" si="21"/>
        <v>2.2727272727272728E-2</v>
      </c>
    </row>
    <row r="171" spans="1:19" ht="21" customHeight="1" x14ac:dyDescent="0.3">
      <c r="A171" s="39">
        <f t="shared" si="19"/>
        <v>161</v>
      </c>
      <c r="B171" s="52" t="s">
        <v>439</v>
      </c>
      <c r="C171" s="53">
        <v>46192</v>
      </c>
      <c r="D171" s="47" t="s">
        <v>63</v>
      </c>
      <c r="E171" s="52" t="s">
        <v>440</v>
      </c>
      <c r="F171" s="30">
        <v>69000</v>
      </c>
      <c r="G171" s="30">
        <f t="shared" si="20"/>
        <v>11040</v>
      </c>
      <c r="H171" s="30">
        <f t="shared" si="18"/>
        <v>80040</v>
      </c>
      <c r="I171" s="30" t="s">
        <v>15</v>
      </c>
      <c r="J171" s="53">
        <v>46203</v>
      </c>
      <c r="K171" s="47"/>
      <c r="L171" s="47" t="s">
        <v>77</v>
      </c>
      <c r="M171" s="47" t="s">
        <v>383</v>
      </c>
      <c r="N171" s="47">
        <v>492</v>
      </c>
      <c r="O171" s="54">
        <f t="shared" si="22"/>
        <v>5.7971014492753624E-2</v>
      </c>
      <c r="P171" s="16">
        <v>4000</v>
      </c>
      <c r="Q171" s="16">
        <v>1000</v>
      </c>
      <c r="R171" s="16">
        <v>70000</v>
      </c>
      <c r="S171" s="54">
        <f t="shared" si="21"/>
        <v>1.4285714285714285E-2</v>
      </c>
    </row>
    <row r="172" spans="1:19" ht="21" customHeight="1" x14ac:dyDescent="0.3">
      <c r="A172" s="39">
        <f>A150+1</f>
        <v>149</v>
      </c>
      <c r="B172" s="52" t="s">
        <v>441</v>
      </c>
      <c r="C172" s="53">
        <v>46192</v>
      </c>
      <c r="D172" s="47" t="s">
        <v>63</v>
      </c>
      <c r="E172" s="52" t="s">
        <v>442</v>
      </c>
      <c r="F172" s="30">
        <v>69000</v>
      </c>
      <c r="G172" s="30">
        <f t="shared" si="20"/>
        <v>11040</v>
      </c>
      <c r="H172" s="30">
        <f t="shared" si="18"/>
        <v>80040</v>
      </c>
      <c r="I172" s="30" t="s">
        <v>15</v>
      </c>
      <c r="J172" s="53">
        <v>46203</v>
      </c>
      <c r="K172" s="47"/>
      <c r="L172" s="47" t="s">
        <v>77</v>
      </c>
      <c r="M172" s="47" t="s">
        <v>383</v>
      </c>
      <c r="N172" s="47">
        <v>493</v>
      </c>
      <c r="O172" s="54">
        <f t="shared" si="22"/>
        <v>5.7971014492753624E-2</v>
      </c>
      <c r="P172" s="16">
        <v>4000</v>
      </c>
      <c r="Q172" s="16">
        <v>1000</v>
      </c>
      <c r="R172" s="16">
        <v>70000</v>
      </c>
      <c r="S172" s="54">
        <f t="shared" si="21"/>
        <v>1.4285714285714285E-2</v>
      </c>
    </row>
    <row r="173" spans="1:19" ht="21" customHeight="1" x14ac:dyDescent="0.3">
      <c r="A173" s="39">
        <f t="shared" si="19"/>
        <v>150</v>
      </c>
      <c r="B173" s="52" t="s">
        <v>443</v>
      </c>
      <c r="C173" s="53">
        <v>46198</v>
      </c>
      <c r="D173" s="47" t="s">
        <v>63</v>
      </c>
      <c r="E173" s="52" t="s">
        <v>444</v>
      </c>
      <c r="F173" s="30">
        <v>7350</v>
      </c>
      <c r="G173" s="30">
        <f t="shared" si="20"/>
        <v>1176</v>
      </c>
      <c r="H173" s="30">
        <f t="shared" si="18"/>
        <v>8526</v>
      </c>
      <c r="I173" s="30" t="s">
        <v>15</v>
      </c>
      <c r="J173" s="53">
        <v>46218</v>
      </c>
      <c r="K173" s="47"/>
      <c r="L173" s="47" t="s">
        <v>71</v>
      </c>
      <c r="M173" s="47" t="s">
        <v>383</v>
      </c>
      <c r="N173" s="47">
        <v>481</v>
      </c>
      <c r="O173" s="54">
        <f t="shared" si="22"/>
        <v>0.14285714285714285</v>
      </c>
      <c r="P173" s="16">
        <v>1050</v>
      </c>
      <c r="Q173" s="16">
        <v>1050</v>
      </c>
      <c r="R173" s="16">
        <v>8400</v>
      </c>
      <c r="S173" s="54">
        <f t="shared" si="21"/>
        <v>0.125</v>
      </c>
    </row>
    <row r="174" spans="1:19" ht="21" customHeight="1" x14ac:dyDescent="0.3">
      <c r="A174" s="39">
        <f t="shared" si="19"/>
        <v>151</v>
      </c>
      <c r="B174" s="52" t="s">
        <v>445</v>
      </c>
      <c r="C174" s="53">
        <v>46198</v>
      </c>
      <c r="D174" s="47" t="s">
        <v>63</v>
      </c>
      <c r="E174" s="52" t="s">
        <v>446</v>
      </c>
      <c r="F174" s="30">
        <v>41940.339999999997</v>
      </c>
      <c r="G174" s="30">
        <f t="shared" si="20"/>
        <v>6710.4543999999996</v>
      </c>
      <c r="H174" s="30">
        <f t="shared" si="18"/>
        <v>48650.794399999999</v>
      </c>
      <c r="I174" s="30" t="s">
        <v>15</v>
      </c>
      <c r="J174" s="53">
        <v>46218</v>
      </c>
      <c r="K174" s="47"/>
      <c r="L174" s="47" t="s">
        <v>65</v>
      </c>
      <c r="M174" s="47" t="s">
        <v>383</v>
      </c>
      <c r="N174" s="47">
        <v>491</v>
      </c>
      <c r="O174" s="54">
        <f t="shared" si="22"/>
        <v>0.34430669851508122</v>
      </c>
      <c r="P174" s="16">
        <v>14440.34</v>
      </c>
      <c r="Q174" s="16">
        <v>2159.66</v>
      </c>
      <c r="R174" s="16">
        <v>44100</v>
      </c>
      <c r="S174" s="54">
        <f t="shared" si="21"/>
        <v>4.8971882086167796E-2</v>
      </c>
    </row>
    <row r="175" spans="1:19" ht="21" customHeight="1" x14ac:dyDescent="0.3">
      <c r="A175" s="39">
        <f t="shared" si="19"/>
        <v>152</v>
      </c>
      <c r="B175" s="52" t="s">
        <v>447</v>
      </c>
      <c r="C175" s="53">
        <v>46202</v>
      </c>
      <c r="D175" s="47" t="s">
        <v>63</v>
      </c>
      <c r="E175" s="52" t="s">
        <v>448</v>
      </c>
      <c r="F175" s="30">
        <v>29000</v>
      </c>
      <c r="G175" s="30">
        <f t="shared" si="20"/>
        <v>4640</v>
      </c>
      <c r="H175" s="30">
        <f t="shared" si="18"/>
        <v>33640</v>
      </c>
      <c r="I175" s="30" t="s">
        <v>15</v>
      </c>
      <c r="J175" s="53">
        <v>46218</v>
      </c>
      <c r="K175" s="47"/>
      <c r="L175" s="47" t="s">
        <v>77</v>
      </c>
      <c r="M175" s="47" t="s">
        <v>220</v>
      </c>
      <c r="N175" s="47">
        <v>487</v>
      </c>
      <c r="O175" s="54">
        <f t="shared" si="22"/>
        <v>0.13793103448275862</v>
      </c>
      <c r="P175" s="16">
        <v>4000</v>
      </c>
      <c r="Q175" s="16">
        <v>1000</v>
      </c>
      <c r="R175" s="16">
        <v>30000</v>
      </c>
      <c r="S175" s="54">
        <f t="shared" si="21"/>
        <v>3.3333333333333333E-2</v>
      </c>
    </row>
    <row r="176" spans="1:19" ht="21" customHeight="1" x14ac:dyDescent="0.3">
      <c r="A176" s="39">
        <f t="shared" si="19"/>
        <v>153</v>
      </c>
      <c r="B176" s="52" t="s">
        <v>449</v>
      </c>
      <c r="C176" s="53">
        <v>46202</v>
      </c>
      <c r="D176" s="47" t="s">
        <v>63</v>
      </c>
      <c r="E176" s="52" t="s">
        <v>450</v>
      </c>
      <c r="F176" s="30">
        <v>65800</v>
      </c>
      <c r="G176" s="30">
        <f t="shared" si="20"/>
        <v>10528</v>
      </c>
      <c r="H176" s="30">
        <f t="shared" si="18"/>
        <v>76328</v>
      </c>
      <c r="I176" s="30" t="s">
        <v>15</v>
      </c>
      <c r="J176" s="53">
        <v>46218</v>
      </c>
      <c r="K176" s="47"/>
      <c r="L176" s="47" t="s">
        <v>77</v>
      </c>
      <c r="M176" s="47" t="s">
        <v>220</v>
      </c>
      <c r="N176" s="47">
        <v>488</v>
      </c>
      <c r="O176" s="54">
        <f t="shared" si="22"/>
        <v>7.29483282674772E-2</v>
      </c>
      <c r="P176" s="16">
        <v>4800</v>
      </c>
      <c r="Q176" s="16">
        <v>1200</v>
      </c>
      <c r="R176" s="16">
        <v>67000</v>
      </c>
      <c r="S176" s="54">
        <f t="shared" si="21"/>
        <v>1.7910447761194031E-2</v>
      </c>
    </row>
    <row r="177" spans="1:19" ht="21" customHeight="1" x14ac:dyDescent="0.3">
      <c r="A177" s="39">
        <f t="shared" si="19"/>
        <v>154</v>
      </c>
      <c r="B177" s="52" t="s">
        <v>451</v>
      </c>
      <c r="C177" s="53">
        <v>46202</v>
      </c>
      <c r="D177" s="47" t="s">
        <v>63</v>
      </c>
      <c r="E177" s="52" t="s">
        <v>452</v>
      </c>
      <c r="F177" s="30">
        <v>65800</v>
      </c>
      <c r="G177" s="30">
        <f t="shared" si="20"/>
        <v>10528</v>
      </c>
      <c r="H177" s="30">
        <f t="shared" si="18"/>
        <v>76328</v>
      </c>
      <c r="I177" s="30" t="s">
        <v>15</v>
      </c>
      <c r="J177" s="53">
        <v>46218</v>
      </c>
      <c r="K177" s="47"/>
      <c r="L177" s="47" t="s">
        <v>77</v>
      </c>
      <c r="M177" s="47" t="s">
        <v>220</v>
      </c>
      <c r="N177" s="47">
        <v>489</v>
      </c>
      <c r="O177" s="54">
        <f t="shared" si="22"/>
        <v>7.29483282674772E-2</v>
      </c>
      <c r="P177" s="16">
        <v>4800</v>
      </c>
      <c r="Q177" s="16">
        <v>1200</v>
      </c>
      <c r="R177" s="16">
        <v>67000</v>
      </c>
      <c r="S177" s="54">
        <f t="shared" si="21"/>
        <v>1.7910447761194031E-2</v>
      </c>
    </row>
    <row r="178" spans="1:19" ht="21" customHeight="1" x14ac:dyDescent="0.3">
      <c r="A178" s="39">
        <f t="shared" si="19"/>
        <v>155</v>
      </c>
      <c r="B178" s="52" t="s">
        <v>453</v>
      </c>
      <c r="C178" s="53">
        <v>46202</v>
      </c>
      <c r="D178" s="47" t="s">
        <v>63</v>
      </c>
      <c r="E178" s="52" t="s">
        <v>454</v>
      </c>
      <c r="F178" s="30">
        <v>44800</v>
      </c>
      <c r="G178" s="30">
        <f t="shared" si="20"/>
        <v>7168</v>
      </c>
      <c r="H178" s="30">
        <f t="shared" si="18"/>
        <v>51968</v>
      </c>
      <c r="I178" s="30" t="s">
        <v>15</v>
      </c>
      <c r="J178" s="53">
        <v>46218</v>
      </c>
      <c r="K178" s="47"/>
      <c r="L178" s="47" t="s">
        <v>77</v>
      </c>
      <c r="M178" s="47" t="s">
        <v>220</v>
      </c>
      <c r="N178" s="47">
        <v>490</v>
      </c>
      <c r="O178" s="54">
        <f t="shared" si="22"/>
        <v>0.10714285714285714</v>
      </c>
      <c r="P178" s="16">
        <v>4800</v>
      </c>
      <c r="Q178" s="16">
        <v>1200</v>
      </c>
      <c r="R178" s="16">
        <v>46000</v>
      </c>
      <c r="S178" s="54">
        <f t="shared" si="21"/>
        <v>2.6086956521739129E-2</v>
      </c>
    </row>
    <row r="179" spans="1:19" ht="21" customHeight="1" x14ac:dyDescent="0.3">
      <c r="A179" s="39">
        <f t="shared" si="19"/>
        <v>156</v>
      </c>
      <c r="B179" s="52" t="s">
        <v>455</v>
      </c>
      <c r="C179" s="53">
        <v>46203</v>
      </c>
      <c r="D179" s="47" t="s">
        <v>63</v>
      </c>
      <c r="E179" s="52" t="s">
        <v>456</v>
      </c>
      <c r="F179" s="30">
        <v>4725</v>
      </c>
      <c r="G179" s="30">
        <f t="shared" si="20"/>
        <v>756</v>
      </c>
      <c r="H179" s="30">
        <f t="shared" si="18"/>
        <v>5481</v>
      </c>
      <c r="I179" s="30" t="s">
        <v>15</v>
      </c>
      <c r="J179" s="53">
        <v>46218</v>
      </c>
      <c r="K179" s="47"/>
      <c r="L179" s="47" t="s">
        <v>71</v>
      </c>
      <c r="M179" s="47" t="s">
        <v>220</v>
      </c>
      <c r="N179" s="47">
        <v>491</v>
      </c>
      <c r="O179" s="54">
        <f t="shared" si="22"/>
        <v>0.14285714285714285</v>
      </c>
      <c r="P179" s="16">
        <v>675</v>
      </c>
      <c r="Q179" s="16">
        <v>675</v>
      </c>
      <c r="R179" s="16">
        <v>5400</v>
      </c>
      <c r="S179" s="54">
        <f t="shared" si="21"/>
        <v>0.125</v>
      </c>
    </row>
    <row r="180" spans="1:19" ht="21" customHeight="1" x14ac:dyDescent="0.3">
      <c r="A180" s="39">
        <f t="shared" si="19"/>
        <v>157</v>
      </c>
      <c r="B180" s="52" t="s">
        <v>457</v>
      </c>
      <c r="C180" s="53">
        <v>46203</v>
      </c>
      <c r="D180" s="47" t="s">
        <v>63</v>
      </c>
      <c r="E180" s="52" t="s">
        <v>458</v>
      </c>
      <c r="F180" s="30">
        <v>69000</v>
      </c>
      <c r="G180" s="30">
        <f t="shared" si="20"/>
        <v>11040</v>
      </c>
      <c r="H180" s="30">
        <f t="shared" si="18"/>
        <v>80040</v>
      </c>
      <c r="I180" s="30" t="s">
        <v>15</v>
      </c>
      <c r="J180" s="53">
        <v>46218</v>
      </c>
      <c r="K180" s="47"/>
      <c r="L180" s="47" t="s">
        <v>77</v>
      </c>
      <c r="M180" s="47" t="s">
        <v>260</v>
      </c>
      <c r="N180" s="47">
        <v>494</v>
      </c>
      <c r="O180" s="54">
        <f t="shared" si="22"/>
        <v>5.7971014492753624E-2</v>
      </c>
      <c r="P180" s="16">
        <v>4000</v>
      </c>
      <c r="Q180" s="16">
        <v>1000</v>
      </c>
      <c r="R180" s="16">
        <v>70000</v>
      </c>
      <c r="S180" s="54">
        <f t="shared" si="21"/>
        <v>1.4285714285714285E-2</v>
      </c>
    </row>
    <row r="181" spans="1:19" ht="21" customHeight="1" x14ac:dyDescent="0.3">
      <c r="A181" s="39">
        <f t="shared" si="19"/>
        <v>158</v>
      </c>
      <c r="B181" s="52" t="s">
        <v>459</v>
      </c>
      <c r="C181" s="53">
        <v>46203</v>
      </c>
      <c r="D181" s="47" t="s">
        <v>63</v>
      </c>
      <c r="E181" s="52" t="s">
        <v>460</v>
      </c>
      <c r="F181" s="30">
        <v>69000</v>
      </c>
      <c r="G181" s="30">
        <f t="shared" si="20"/>
        <v>11040</v>
      </c>
      <c r="H181" s="30">
        <f t="shared" si="18"/>
        <v>80040</v>
      </c>
      <c r="I181" s="30" t="s">
        <v>15</v>
      </c>
      <c r="J181" s="53">
        <v>46218</v>
      </c>
      <c r="K181" s="47"/>
      <c r="L181" s="47" t="s">
        <v>77</v>
      </c>
      <c r="M181" s="47" t="s">
        <v>260</v>
      </c>
      <c r="N181" s="47">
        <v>495</v>
      </c>
      <c r="O181" s="54">
        <f t="shared" si="22"/>
        <v>5.7971014492753624E-2</v>
      </c>
      <c r="P181" s="16">
        <v>4000</v>
      </c>
      <c r="Q181" s="16">
        <v>1000</v>
      </c>
      <c r="R181" s="16">
        <v>70000</v>
      </c>
      <c r="S181" s="54">
        <f t="shared" si="21"/>
        <v>1.4285714285714285E-2</v>
      </c>
    </row>
    <row r="182" spans="1:19" ht="21" customHeight="1" x14ac:dyDescent="0.3">
      <c r="A182" s="39">
        <f t="shared" si="19"/>
        <v>159</v>
      </c>
      <c r="B182" s="52" t="s">
        <v>461</v>
      </c>
      <c r="C182" s="53">
        <v>46203</v>
      </c>
      <c r="D182" s="47" t="s">
        <v>63</v>
      </c>
      <c r="E182" s="52" t="s">
        <v>462</v>
      </c>
      <c r="F182" s="30">
        <v>69000</v>
      </c>
      <c r="G182" s="30">
        <f t="shared" si="20"/>
        <v>11040</v>
      </c>
      <c r="H182" s="30">
        <f t="shared" si="18"/>
        <v>80040</v>
      </c>
      <c r="I182" s="30" t="s">
        <v>15</v>
      </c>
      <c r="J182" s="53">
        <v>46218</v>
      </c>
      <c r="K182" s="47"/>
      <c r="L182" s="47" t="s">
        <v>77</v>
      </c>
      <c r="M182" s="47" t="s">
        <v>260</v>
      </c>
      <c r="N182" s="47">
        <v>496</v>
      </c>
      <c r="O182" s="54">
        <f t="shared" si="22"/>
        <v>5.7971014492753624E-2</v>
      </c>
      <c r="P182" s="16">
        <v>4000</v>
      </c>
      <c r="Q182" s="16">
        <v>1000</v>
      </c>
      <c r="R182" s="16">
        <v>70000</v>
      </c>
      <c r="S182" s="54">
        <f t="shared" si="21"/>
        <v>1.4285714285714285E-2</v>
      </c>
    </row>
    <row r="183" spans="1:19" ht="21" customHeight="1" x14ac:dyDescent="0.3">
      <c r="A183" s="39">
        <f t="shared" si="19"/>
        <v>160</v>
      </c>
      <c r="B183" s="52" t="s">
        <v>463</v>
      </c>
      <c r="C183" s="53">
        <v>46203</v>
      </c>
      <c r="D183" s="47" t="s">
        <v>63</v>
      </c>
      <c r="E183" s="52" t="s">
        <v>464</v>
      </c>
      <c r="F183" s="30">
        <v>69000</v>
      </c>
      <c r="G183" s="30">
        <f t="shared" si="20"/>
        <v>11040</v>
      </c>
      <c r="H183" s="30">
        <f t="shared" si="18"/>
        <v>80040</v>
      </c>
      <c r="I183" s="30" t="s">
        <v>15</v>
      </c>
      <c r="J183" s="53">
        <v>46218</v>
      </c>
      <c r="K183" s="47"/>
      <c r="L183" s="47" t="s">
        <v>77</v>
      </c>
      <c r="M183" s="47" t="s">
        <v>260</v>
      </c>
      <c r="N183" s="47">
        <v>497</v>
      </c>
      <c r="O183" s="54">
        <f t="shared" si="22"/>
        <v>5.7971014492753624E-2</v>
      </c>
      <c r="P183" s="16">
        <v>4000</v>
      </c>
      <c r="Q183" s="16">
        <v>1000</v>
      </c>
      <c r="R183" s="16">
        <v>70000</v>
      </c>
      <c r="S183" s="54">
        <f t="shared" si="21"/>
        <v>1.4285714285714285E-2</v>
      </c>
    </row>
    <row r="184" spans="1:19" ht="21" customHeight="1" x14ac:dyDescent="0.3">
      <c r="A184" s="39">
        <f t="shared" si="19"/>
        <v>161</v>
      </c>
      <c r="B184" s="52" t="s">
        <v>465</v>
      </c>
      <c r="C184" s="53">
        <v>46203</v>
      </c>
      <c r="D184" s="47" t="s">
        <v>63</v>
      </c>
      <c r="E184" s="52" t="s">
        <v>466</v>
      </c>
      <c r="F184" s="30">
        <v>53700</v>
      </c>
      <c r="G184" s="30">
        <f t="shared" si="20"/>
        <v>8592</v>
      </c>
      <c r="H184" s="30">
        <f t="shared" si="18"/>
        <v>62292</v>
      </c>
      <c r="I184" s="30" t="s">
        <v>15</v>
      </c>
      <c r="J184" s="53">
        <v>46218</v>
      </c>
      <c r="K184" s="47"/>
      <c r="L184" s="47" t="s">
        <v>77</v>
      </c>
      <c r="M184" s="47" t="s">
        <v>220</v>
      </c>
      <c r="N184" s="47">
        <v>492</v>
      </c>
      <c r="O184" s="54">
        <f t="shared" si="22"/>
        <v>0.14432029795158285</v>
      </c>
      <c r="P184" s="16">
        <v>7750</v>
      </c>
      <c r="Q184" s="16">
        <v>1250</v>
      </c>
      <c r="R184" s="16">
        <v>55000</v>
      </c>
      <c r="S184" s="54">
        <f t="shared" si="21"/>
        <v>2.2727272727272728E-2</v>
      </c>
    </row>
    <row r="185" spans="1:19" ht="21" customHeight="1" x14ac:dyDescent="0.3">
      <c r="A185" s="39">
        <f>A171+1</f>
        <v>162</v>
      </c>
      <c r="B185" s="52" t="s">
        <v>467</v>
      </c>
      <c r="C185" s="53">
        <v>46203</v>
      </c>
      <c r="D185" s="47" t="s">
        <v>106</v>
      </c>
      <c r="E185" s="52" t="s">
        <v>150</v>
      </c>
      <c r="F185" s="30">
        <v>1150</v>
      </c>
      <c r="G185" s="30">
        <f t="shared" si="20"/>
        <v>184</v>
      </c>
      <c r="H185" s="30">
        <f t="shared" si="18"/>
        <v>1334</v>
      </c>
      <c r="I185" s="30" t="s">
        <v>15</v>
      </c>
      <c r="J185" s="53">
        <v>46218</v>
      </c>
      <c r="K185" s="47"/>
      <c r="L185" s="47" t="s">
        <v>299</v>
      </c>
      <c r="M185" s="47" t="s">
        <v>299</v>
      </c>
      <c r="N185" s="47" t="s">
        <v>150</v>
      </c>
      <c r="O185" s="54">
        <f t="shared" si="22"/>
        <v>1</v>
      </c>
      <c r="P185" s="16">
        <v>1150</v>
      </c>
      <c r="Q185" s="16">
        <v>0</v>
      </c>
      <c r="R185" s="16">
        <v>0</v>
      </c>
      <c r="S185" s="54">
        <v>0</v>
      </c>
    </row>
    <row r="186" spans="1:19" ht="21" customHeight="1" x14ac:dyDescent="0.3">
      <c r="A186" s="39">
        <f t="shared" si="19"/>
        <v>163</v>
      </c>
      <c r="B186" s="52" t="s">
        <v>468</v>
      </c>
      <c r="C186" s="53">
        <v>46206</v>
      </c>
      <c r="D186" s="47" t="s">
        <v>63</v>
      </c>
      <c r="E186" s="52" t="s">
        <v>469</v>
      </c>
      <c r="F186" s="30">
        <v>35000</v>
      </c>
      <c r="G186" s="30">
        <f t="shared" si="20"/>
        <v>5600</v>
      </c>
      <c r="H186" s="30">
        <f t="shared" si="18"/>
        <v>40600</v>
      </c>
      <c r="I186" s="30" t="s">
        <v>15</v>
      </c>
      <c r="J186" s="53">
        <v>46218</v>
      </c>
      <c r="K186" s="47"/>
      <c r="L186" s="47" t="s">
        <v>77</v>
      </c>
      <c r="M186" s="47" t="s">
        <v>220</v>
      </c>
      <c r="N186" s="47">
        <v>493</v>
      </c>
      <c r="O186" s="54">
        <f t="shared" si="22"/>
        <v>0.11428571428571428</v>
      </c>
      <c r="P186" s="16">
        <v>4000</v>
      </c>
      <c r="Q186" s="16">
        <v>1000</v>
      </c>
      <c r="R186" s="16">
        <v>36000</v>
      </c>
      <c r="S186" s="54">
        <f t="shared" ref="S186:S249" si="23">Q186/R186</f>
        <v>2.7777777777777776E-2</v>
      </c>
    </row>
    <row r="187" spans="1:19" ht="21" customHeight="1" x14ac:dyDescent="0.3">
      <c r="A187" s="39">
        <f t="shared" si="19"/>
        <v>164</v>
      </c>
      <c r="B187" s="52" t="s">
        <v>470</v>
      </c>
      <c r="C187" s="53">
        <v>46206</v>
      </c>
      <c r="D187" s="47" t="s">
        <v>63</v>
      </c>
      <c r="E187" s="52" t="s">
        <v>471</v>
      </c>
      <c r="F187" s="30">
        <v>900</v>
      </c>
      <c r="G187" s="30">
        <f t="shared" si="20"/>
        <v>144</v>
      </c>
      <c r="H187" s="30">
        <f t="shared" si="18"/>
        <v>1044</v>
      </c>
      <c r="I187" s="30" t="s">
        <v>15</v>
      </c>
      <c r="J187" s="53">
        <v>46218</v>
      </c>
      <c r="K187" s="47"/>
      <c r="L187" s="47" t="s">
        <v>71</v>
      </c>
      <c r="M187" s="47" t="s">
        <v>220</v>
      </c>
      <c r="N187" s="47">
        <v>496</v>
      </c>
      <c r="O187" s="54">
        <f t="shared" si="22"/>
        <v>0.33333333333333331</v>
      </c>
      <c r="P187" s="16">
        <v>300</v>
      </c>
      <c r="Q187" s="16">
        <v>300</v>
      </c>
      <c r="R187" s="16">
        <v>1300</v>
      </c>
      <c r="S187" s="54">
        <f t="shared" si="23"/>
        <v>0.23076923076923078</v>
      </c>
    </row>
    <row r="188" spans="1:19" ht="21" customHeight="1" x14ac:dyDescent="0.3">
      <c r="A188" s="39">
        <f t="shared" si="19"/>
        <v>165</v>
      </c>
      <c r="B188" s="52" t="s">
        <v>472</v>
      </c>
      <c r="C188" s="53">
        <v>46206</v>
      </c>
      <c r="D188" s="47" t="s">
        <v>63</v>
      </c>
      <c r="E188" s="52" t="s">
        <v>473</v>
      </c>
      <c r="F188" s="30">
        <v>3620</v>
      </c>
      <c r="G188" s="30">
        <f t="shared" si="20"/>
        <v>579.20000000000005</v>
      </c>
      <c r="H188" s="30">
        <f t="shared" si="18"/>
        <v>4199.2</v>
      </c>
      <c r="I188" s="30" t="s">
        <v>15</v>
      </c>
      <c r="J188" s="53">
        <v>46218</v>
      </c>
      <c r="K188" s="47"/>
      <c r="L188" s="47" t="s">
        <v>71</v>
      </c>
      <c r="M188" s="47" t="s">
        <v>260</v>
      </c>
      <c r="N188" s="47">
        <v>498</v>
      </c>
      <c r="O188" s="54">
        <f t="shared" si="22"/>
        <v>0.30939226519337015</v>
      </c>
      <c r="P188" s="16">
        <v>1120</v>
      </c>
      <c r="Q188" s="16">
        <v>280</v>
      </c>
      <c r="R188" s="16">
        <v>3900</v>
      </c>
      <c r="S188" s="54">
        <f t="shared" si="23"/>
        <v>7.179487179487179E-2</v>
      </c>
    </row>
    <row r="189" spans="1:19" ht="21" customHeight="1" x14ac:dyDescent="0.3">
      <c r="A189" s="39">
        <f t="shared" si="19"/>
        <v>166</v>
      </c>
      <c r="B189" s="52" t="s">
        <v>474</v>
      </c>
      <c r="C189" s="53">
        <v>46206</v>
      </c>
      <c r="D189" s="47" t="s">
        <v>63</v>
      </c>
      <c r="E189" s="52" t="s">
        <v>475</v>
      </c>
      <c r="F189" s="30">
        <v>2100</v>
      </c>
      <c r="G189" s="30">
        <f t="shared" si="20"/>
        <v>336</v>
      </c>
      <c r="H189" s="30">
        <f t="shared" si="18"/>
        <v>2436</v>
      </c>
      <c r="I189" s="30" t="s">
        <v>15</v>
      </c>
      <c r="J189" s="53">
        <v>46218</v>
      </c>
      <c r="K189" s="47"/>
      <c r="L189" s="47" t="s">
        <v>71</v>
      </c>
      <c r="M189" s="47" t="s">
        <v>220</v>
      </c>
      <c r="N189" s="47">
        <v>495</v>
      </c>
      <c r="O189" s="54">
        <f t="shared" si="22"/>
        <v>0.14285714285714285</v>
      </c>
      <c r="P189" s="16">
        <v>300</v>
      </c>
      <c r="Q189" s="16">
        <v>300</v>
      </c>
      <c r="R189" s="16">
        <v>2400</v>
      </c>
      <c r="S189" s="54">
        <f t="shared" si="23"/>
        <v>0.125</v>
      </c>
    </row>
    <row r="190" spans="1:19" ht="21" customHeight="1" x14ac:dyDescent="0.3">
      <c r="A190" s="39">
        <f t="shared" si="19"/>
        <v>167</v>
      </c>
      <c r="B190" s="52" t="s">
        <v>476</v>
      </c>
      <c r="C190" s="53">
        <v>46220</v>
      </c>
      <c r="D190" s="47" t="s">
        <v>63</v>
      </c>
      <c r="E190" s="52" t="s">
        <v>477</v>
      </c>
      <c r="F190" s="30">
        <v>1500</v>
      </c>
      <c r="G190" s="30">
        <f t="shared" si="20"/>
        <v>240</v>
      </c>
      <c r="H190" s="30">
        <f t="shared" ref="H190:H253" si="24">F190+G190</f>
        <v>1740</v>
      </c>
      <c r="I190" s="30" t="s">
        <v>15</v>
      </c>
      <c r="J190" s="53">
        <v>46234</v>
      </c>
      <c r="K190" s="47"/>
      <c r="L190" s="47" t="s">
        <v>299</v>
      </c>
      <c r="M190" s="47" t="s">
        <v>478</v>
      </c>
      <c r="N190" s="47" t="s">
        <v>479</v>
      </c>
      <c r="O190" s="54">
        <f t="shared" si="22"/>
        <v>0</v>
      </c>
      <c r="P190" s="16">
        <v>0</v>
      </c>
      <c r="Q190" s="16">
        <v>0</v>
      </c>
      <c r="R190" s="16">
        <v>0</v>
      </c>
      <c r="S190" s="54" t="e">
        <f t="shared" si="23"/>
        <v>#DIV/0!</v>
      </c>
    </row>
    <row r="191" spans="1:19" ht="21" customHeight="1" x14ac:dyDescent="0.3">
      <c r="A191" s="39">
        <f t="shared" si="19"/>
        <v>168</v>
      </c>
      <c r="B191" s="52" t="s">
        <v>480</v>
      </c>
      <c r="C191" s="53">
        <v>46224</v>
      </c>
      <c r="D191" s="47" t="s">
        <v>63</v>
      </c>
      <c r="E191" s="52" t="s">
        <v>481</v>
      </c>
      <c r="F191" s="30">
        <v>42000</v>
      </c>
      <c r="G191" s="30">
        <f t="shared" si="20"/>
        <v>6720</v>
      </c>
      <c r="H191" s="30">
        <f t="shared" si="24"/>
        <v>48720</v>
      </c>
      <c r="I191" s="30" t="s">
        <v>15</v>
      </c>
      <c r="J191" s="53">
        <v>46234</v>
      </c>
      <c r="K191" s="47"/>
      <c r="L191" s="47" t="s">
        <v>299</v>
      </c>
      <c r="M191" s="47" t="s">
        <v>220</v>
      </c>
      <c r="N191" s="47">
        <v>510</v>
      </c>
      <c r="O191" s="54">
        <f t="shared" si="22"/>
        <v>9.5238095238095233E-2</v>
      </c>
      <c r="P191" s="16">
        <v>4000</v>
      </c>
      <c r="Q191" s="16">
        <v>1000</v>
      </c>
      <c r="R191" s="16">
        <v>43000</v>
      </c>
      <c r="S191" s="54">
        <f t="shared" si="23"/>
        <v>2.3255813953488372E-2</v>
      </c>
    </row>
    <row r="192" spans="1:19" ht="21" customHeight="1" x14ac:dyDescent="0.3">
      <c r="A192" s="39">
        <f t="shared" si="19"/>
        <v>169</v>
      </c>
      <c r="B192" s="52" t="s">
        <v>482</v>
      </c>
      <c r="C192" s="53">
        <v>46224</v>
      </c>
      <c r="D192" s="47" t="s">
        <v>63</v>
      </c>
      <c r="E192" s="52" t="s">
        <v>483</v>
      </c>
      <c r="F192" s="30">
        <v>2550</v>
      </c>
      <c r="G192" s="30">
        <f t="shared" si="20"/>
        <v>408</v>
      </c>
      <c r="H192" s="30">
        <f t="shared" si="24"/>
        <v>2958</v>
      </c>
      <c r="I192" s="30" t="s">
        <v>15</v>
      </c>
      <c r="J192" s="53">
        <v>46234</v>
      </c>
      <c r="K192" s="47"/>
      <c r="L192" s="47" t="s">
        <v>299</v>
      </c>
      <c r="M192" s="47" t="s">
        <v>383</v>
      </c>
      <c r="N192" s="47">
        <v>508</v>
      </c>
      <c r="O192" s="54">
        <f t="shared" si="22"/>
        <v>0.13725490196078433</v>
      </c>
      <c r="P192" s="16">
        <v>350</v>
      </c>
      <c r="Q192" s="16">
        <v>150</v>
      </c>
      <c r="R192" s="16">
        <v>2700</v>
      </c>
      <c r="S192" s="54">
        <f t="shared" si="23"/>
        <v>5.5555555555555552E-2</v>
      </c>
    </row>
    <row r="193" spans="1:19" ht="21" customHeight="1" x14ac:dyDescent="0.3">
      <c r="A193" s="39">
        <f t="shared" si="19"/>
        <v>170</v>
      </c>
      <c r="B193" s="52" t="s">
        <v>484</v>
      </c>
      <c r="C193" s="53">
        <v>46224</v>
      </c>
      <c r="D193" s="47" t="s">
        <v>63</v>
      </c>
      <c r="E193" s="52" t="s">
        <v>485</v>
      </c>
      <c r="F193" s="30">
        <v>54070</v>
      </c>
      <c r="G193" s="30">
        <f t="shared" si="20"/>
        <v>8651.2000000000007</v>
      </c>
      <c r="H193" s="30">
        <f t="shared" si="24"/>
        <v>62721.2</v>
      </c>
      <c r="I193" s="30" t="s">
        <v>15</v>
      </c>
      <c r="J193" s="53">
        <v>46234</v>
      </c>
      <c r="K193" s="47"/>
      <c r="L193" s="47" t="s">
        <v>299</v>
      </c>
      <c r="M193" s="47" t="s">
        <v>383</v>
      </c>
      <c r="N193" s="47">
        <v>511</v>
      </c>
      <c r="O193" s="54">
        <f t="shared" si="22"/>
        <v>0.38043277233216199</v>
      </c>
      <c r="P193" s="16">
        <v>20570</v>
      </c>
      <c r="Q193" s="16">
        <v>420</v>
      </c>
      <c r="R193" s="16">
        <v>58300</v>
      </c>
      <c r="S193" s="54">
        <f t="shared" si="23"/>
        <v>7.2041166380789022E-3</v>
      </c>
    </row>
    <row r="194" spans="1:19" ht="21" customHeight="1" x14ac:dyDescent="0.3">
      <c r="A194" s="39">
        <f t="shared" si="19"/>
        <v>171</v>
      </c>
      <c r="B194" s="52" t="s">
        <v>486</v>
      </c>
      <c r="C194" s="53">
        <v>46225</v>
      </c>
      <c r="D194" s="47" t="s">
        <v>106</v>
      </c>
      <c r="E194" s="52" t="s">
        <v>150</v>
      </c>
      <c r="F194" s="30">
        <v>2475</v>
      </c>
      <c r="G194" s="30">
        <f t="shared" si="20"/>
        <v>396</v>
      </c>
      <c r="H194" s="30">
        <f t="shared" si="24"/>
        <v>2871</v>
      </c>
      <c r="I194" s="30" t="s">
        <v>15</v>
      </c>
      <c r="J194" s="53">
        <v>46234</v>
      </c>
      <c r="K194" s="47"/>
      <c r="L194" s="47" t="s">
        <v>299</v>
      </c>
      <c r="M194" s="47" t="s">
        <v>150</v>
      </c>
      <c r="N194" s="47" t="s">
        <v>150</v>
      </c>
      <c r="O194" s="54">
        <f t="shared" si="22"/>
        <v>1</v>
      </c>
      <c r="P194" s="16">
        <v>2475</v>
      </c>
      <c r="Q194" s="16">
        <v>0</v>
      </c>
      <c r="R194" s="16">
        <v>0</v>
      </c>
      <c r="S194" s="54">
        <v>0</v>
      </c>
    </row>
    <row r="195" spans="1:19" ht="21" customHeight="1" x14ac:dyDescent="0.3">
      <c r="A195" s="39">
        <f t="shared" si="19"/>
        <v>172</v>
      </c>
      <c r="B195" s="52" t="s">
        <v>487</v>
      </c>
      <c r="C195" s="53">
        <v>46227</v>
      </c>
      <c r="D195" s="47" t="s">
        <v>63</v>
      </c>
      <c r="E195" s="52" t="s">
        <v>488</v>
      </c>
      <c r="F195" s="30">
        <v>70560</v>
      </c>
      <c r="G195" s="30">
        <f t="shared" si="20"/>
        <v>11289.6</v>
      </c>
      <c r="H195" s="30">
        <f t="shared" si="24"/>
        <v>81849.600000000006</v>
      </c>
      <c r="I195" s="30" t="s">
        <v>15</v>
      </c>
      <c r="J195" s="53">
        <v>46234</v>
      </c>
      <c r="K195" s="47"/>
      <c r="L195" s="47" t="s">
        <v>299</v>
      </c>
      <c r="M195" s="47" t="s">
        <v>383</v>
      </c>
      <c r="N195" s="47">
        <v>513</v>
      </c>
      <c r="O195" s="54">
        <f t="shared" si="22"/>
        <v>7.8798185941043083E-2</v>
      </c>
      <c r="P195" s="16">
        <v>5560</v>
      </c>
      <c r="Q195" s="16">
        <v>1440</v>
      </c>
      <c r="R195" s="16">
        <v>72000</v>
      </c>
      <c r="S195" s="54">
        <f t="shared" si="23"/>
        <v>0.02</v>
      </c>
    </row>
    <row r="196" spans="1:19" ht="21" customHeight="1" x14ac:dyDescent="0.3">
      <c r="A196" s="39">
        <f t="shared" ref="A196:A255" si="25">A195+1</f>
        <v>173</v>
      </c>
      <c r="B196" s="52" t="s">
        <v>489</v>
      </c>
      <c r="C196" s="53">
        <v>46227</v>
      </c>
      <c r="D196" s="47" t="s">
        <v>63</v>
      </c>
      <c r="E196" s="52" t="s">
        <v>490</v>
      </c>
      <c r="F196" s="30">
        <v>70560</v>
      </c>
      <c r="G196" s="30">
        <f t="shared" si="20"/>
        <v>11289.6</v>
      </c>
      <c r="H196" s="30">
        <f t="shared" si="24"/>
        <v>81849.600000000006</v>
      </c>
      <c r="I196" s="30" t="s">
        <v>15</v>
      </c>
      <c r="J196" s="53">
        <v>46234</v>
      </c>
      <c r="K196" s="47"/>
      <c r="L196" s="47" t="s">
        <v>299</v>
      </c>
      <c r="M196" s="47" t="s">
        <v>383</v>
      </c>
      <c r="N196" s="47">
        <v>514</v>
      </c>
      <c r="O196" s="54">
        <f t="shared" si="22"/>
        <v>7.8798185941043083E-2</v>
      </c>
      <c r="P196" s="16">
        <v>5560</v>
      </c>
      <c r="Q196" s="16">
        <v>1440</v>
      </c>
      <c r="R196" s="16">
        <v>72000</v>
      </c>
      <c r="S196" s="54">
        <f t="shared" si="23"/>
        <v>0.02</v>
      </c>
    </row>
    <row r="197" spans="1:19" ht="21" customHeight="1" x14ac:dyDescent="0.3">
      <c r="A197" s="39">
        <f t="shared" si="25"/>
        <v>174</v>
      </c>
      <c r="B197" s="52" t="s">
        <v>491</v>
      </c>
      <c r="C197" s="53">
        <v>46227</v>
      </c>
      <c r="D197" s="47" t="s">
        <v>63</v>
      </c>
      <c r="E197" s="52" t="s">
        <v>492</v>
      </c>
      <c r="F197" s="30">
        <v>70560</v>
      </c>
      <c r="G197" s="30">
        <f t="shared" si="20"/>
        <v>11289.6</v>
      </c>
      <c r="H197" s="30">
        <f t="shared" si="24"/>
        <v>81849.600000000006</v>
      </c>
      <c r="I197" s="30" t="s">
        <v>15</v>
      </c>
      <c r="J197" s="53">
        <v>46234</v>
      </c>
      <c r="K197" s="47"/>
      <c r="L197" s="47" t="s">
        <v>299</v>
      </c>
      <c r="M197" s="47" t="s">
        <v>383</v>
      </c>
      <c r="N197" s="47">
        <v>515</v>
      </c>
      <c r="O197" s="54">
        <f t="shared" si="22"/>
        <v>7.8798185941043083E-2</v>
      </c>
      <c r="P197" s="16">
        <v>5560</v>
      </c>
      <c r="Q197" s="16">
        <v>1440</v>
      </c>
      <c r="R197" s="16">
        <v>72000</v>
      </c>
      <c r="S197" s="54">
        <f t="shared" si="23"/>
        <v>0.02</v>
      </c>
    </row>
    <row r="198" spans="1:19" ht="21" customHeight="1" x14ac:dyDescent="0.3">
      <c r="A198" s="39">
        <f t="shared" si="25"/>
        <v>175</v>
      </c>
      <c r="B198" s="52" t="s">
        <v>493</v>
      </c>
      <c r="C198" s="53">
        <v>46227</v>
      </c>
      <c r="D198" s="47" t="s">
        <v>63</v>
      </c>
      <c r="E198" s="52" t="s">
        <v>494</v>
      </c>
      <c r="F198" s="30">
        <v>70560</v>
      </c>
      <c r="G198" s="30">
        <f t="shared" si="20"/>
        <v>11289.6</v>
      </c>
      <c r="H198" s="30">
        <f t="shared" si="24"/>
        <v>81849.600000000006</v>
      </c>
      <c r="I198" s="30" t="s">
        <v>15</v>
      </c>
      <c r="J198" s="53">
        <v>46234</v>
      </c>
      <c r="K198" s="47"/>
      <c r="L198" s="47" t="s">
        <v>299</v>
      </c>
      <c r="M198" s="47" t="s">
        <v>383</v>
      </c>
      <c r="N198" s="47">
        <v>516</v>
      </c>
      <c r="O198" s="54">
        <f t="shared" si="22"/>
        <v>7.8798185941043083E-2</v>
      </c>
      <c r="P198" s="16">
        <v>5560</v>
      </c>
      <c r="Q198" s="16">
        <v>1440</v>
      </c>
      <c r="R198" s="16">
        <v>72000</v>
      </c>
      <c r="S198" s="54">
        <f t="shared" si="23"/>
        <v>0.02</v>
      </c>
    </row>
    <row r="199" spans="1:19" ht="21" customHeight="1" x14ac:dyDescent="0.3">
      <c r="A199" s="39">
        <f t="shared" si="25"/>
        <v>176</v>
      </c>
      <c r="B199" s="52" t="s">
        <v>495</v>
      </c>
      <c r="C199" s="53">
        <v>46227</v>
      </c>
      <c r="D199" s="47" t="s">
        <v>63</v>
      </c>
      <c r="E199" s="52" t="s">
        <v>496</v>
      </c>
      <c r="F199" s="30">
        <v>71000</v>
      </c>
      <c r="G199" s="30">
        <f t="shared" si="20"/>
        <v>11360</v>
      </c>
      <c r="H199" s="30">
        <f t="shared" si="24"/>
        <v>82360</v>
      </c>
      <c r="I199" s="30" t="s">
        <v>15</v>
      </c>
      <c r="J199" s="53">
        <v>46234</v>
      </c>
      <c r="K199" s="47"/>
      <c r="L199" s="47" t="s">
        <v>299</v>
      </c>
      <c r="M199" s="47" t="s">
        <v>497</v>
      </c>
      <c r="N199" s="47"/>
      <c r="O199" s="54">
        <f t="shared" si="22"/>
        <v>5.6338028169014086E-2</v>
      </c>
      <c r="P199" s="16">
        <v>4000</v>
      </c>
      <c r="Q199" s="16">
        <v>1000</v>
      </c>
      <c r="R199" s="16">
        <v>72000</v>
      </c>
      <c r="S199" s="54">
        <f t="shared" si="23"/>
        <v>1.3888888888888888E-2</v>
      </c>
    </row>
    <row r="200" spans="1:19" ht="21" customHeight="1" x14ac:dyDescent="0.3">
      <c r="A200" s="39">
        <f t="shared" si="25"/>
        <v>177</v>
      </c>
      <c r="B200" s="52" t="s">
        <v>498</v>
      </c>
      <c r="C200" s="53">
        <v>46227</v>
      </c>
      <c r="D200" s="47" t="s">
        <v>63</v>
      </c>
      <c r="E200" s="52" t="s">
        <v>499</v>
      </c>
      <c r="F200" s="30">
        <v>70750</v>
      </c>
      <c r="G200" s="30">
        <f t="shared" si="20"/>
        <v>11320</v>
      </c>
      <c r="H200" s="30">
        <f t="shared" si="24"/>
        <v>82070</v>
      </c>
      <c r="I200" s="30" t="s">
        <v>15</v>
      </c>
      <c r="J200" s="53">
        <v>46234</v>
      </c>
      <c r="K200" s="47"/>
      <c r="L200" s="47" t="s">
        <v>299</v>
      </c>
      <c r="M200" s="47" t="s">
        <v>383</v>
      </c>
      <c r="N200" s="47">
        <v>517</v>
      </c>
      <c r="O200" s="54">
        <f t="shared" si="22"/>
        <v>9.5406360424028266E-2</v>
      </c>
      <c r="P200" s="16">
        <v>6750</v>
      </c>
      <c r="Q200" s="16">
        <v>1250</v>
      </c>
      <c r="R200" s="16">
        <v>72000</v>
      </c>
      <c r="S200" s="54">
        <f t="shared" si="23"/>
        <v>1.7361111111111112E-2</v>
      </c>
    </row>
    <row r="201" spans="1:19" ht="21" customHeight="1" x14ac:dyDescent="0.3">
      <c r="A201" s="39">
        <f t="shared" si="25"/>
        <v>178</v>
      </c>
      <c r="B201" s="52" t="s">
        <v>500</v>
      </c>
      <c r="C201" s="53">
        <v>46227</v>
      </c>
      <c r="D201" s="47" t="s">
        <v>63</v>
      </c>
      <c r="E201" s="52" t="s">
        <v>501</v>
      </c>
      <c r="F201" s="30">
        <v>34448</v>
      </c>
      <c r="G201" s="30">
        <f t="shared" si="20"/>
        <v>5511.68</v>
      </c>
      <c r="H201" s="30">
        <f t="shared" si="24"/>
        <v>39959.68</v>
      </c>
      <c r="I201" s="30" t="s">
        <v>15</v>
      </c>
      <c r="J201" s="53">
        <v>46234</v>
      </c>
      <c r="K201" s="47"/>
      <c r="L201" s="47" t="s">
        <v>299</v>
      </c>
      <c r="M201" s="47" t="s">
        <v>383</v>
      </c>
      <c r="N201" s="47">
        <v>511</v>
      </c>
      <c r="O201" s="54">
        <f t="shared" si="22"/>
        <v>0.37691593125870876</v>
      </c>
      <c r="P201" s="16">
        <v>12984</v>
      </c>
      <c r="Q201" s="16">
        <v>2652</v>
      </c>
      <c r="R201" s="16">
        <v>37000</v>
      </c>
      <c r="S201" s="54">
        <f t="shared" si="23"/>
        <v>7.1675675675675676E-2</v>
      </c>
    </row>
    <row r="202" spans="1:19" ht="21" customHeight="1" x14ac:dyDescent="0.3">
      <c r="A202" s="39">
        <f t="shared" si="25"/>
        <v>179</v>
      </c>
      <c r="B202" s="52" t="s">
        <v>502</v>
      </c>
      <c r="C202" s="53">
        <v>46230</v>
      </c>
      <c r="D202" s="47" t="s">
        <v>63</v>
      </c>
      <c r="E202" s="52" t="s">
        <v>503</v>
      </c>
      <c r="F202" s="30">
        <v>2100</v>
      </c>
      <c r="G202" s="30">
        <f t="shared" si="20"/>
        <v>336</v>
      </c>
      <c r="H202" s="30">
        <f t="shared" si="24"/>
        <v>2436</v>
      </c>
      <c r="I202" s="30" t="s">
        <v>15</v>
      </c>
      <c r="J202" s="53">
        <v>46234</v>
      </c>
      <c r="K202" s="47"/>
      <c r="L202" s="47" t="s">
        <v>504</v>
      </c>
      <c r="M202" s="47" t="s">
        <v>22</v>
      </c>
      <c r="N202" s="47">
        <v>518</v>
      </c>
      <c r="O202" s="54">
        <f t="shared" si="22"/>
        <v>0</v>
      </c>
      <c r="P202" s="16"/>
      <c r="Q202" s="16"/>
      <c r="R202" s="16"/>
      <c r="S202" s="54" t="e">
        <f t="shared" si="23"/>
        <v>#DIV/0!</v>
      </c>
    </row>
    <row r="203" spans="1:19" ht="21" customHeight="1" x14ac:dyDescent="0.3">
      <c r="A203" s="39">
        <f t="shared" si="25"/>
        <v>180</v>
      </c>
      <c r="B203" s="52" t="s">
        <v>505</v>
      </c>
      <c r="C203" s="53">
        <v>46232</v>
      </c>
      <c r="D203" s="47" t="s">
        <v>63</v>
      </c>
      <c r="E203" s="52" t="s">
        <v>506</v>
      </c>
      <c r="F203" s="30">
        <v>3675</v>
      </c>
      <c r="G203" s="30">
        <f t="shared" ref="G203:G255" si="26">F203*16%</f>
        <v>588</v>
      </c>
      <c r="H203" s="30">
        <f t="shared" si="24"/>
        <v>4263</v>
      </c>
      <c r="I203" s="30" t="s">
        <v>15</v>
      </c>
      <c r="J203" s="53">
        <v>46249</v>
      </c>
      <c r="K203" s="47"/>
      <c r="L203" s="47" t="s">
        <v>504</v>
      </c>
      <c r="M203" s="47" t="s">
        <v>22</v>
      </c>
      <c r="N203" s="47">
        <v>518</v>
      </c>
      <c r="O203" s="54">
        <f t="shared" si="22"/>
        <v>0.14285714285714285</v>
      </c>
      <c r="P203" s="16">
        <v>525</v>
      </c>
      <c r="Q203" s="16">
        <v>525</v>
      </c>
      <c r="R203" s="16">
        <v>4200</v>
      </c>
      <c r="S203" s="54">
        <f t="shared" si="23"/>
        <v>0.125</v>
      </c>
    </row>
    <row r="204" spans="1:19" ht="21" customHeight="1" x14ac:dyDescent="0.3">
      <c r="A204" s="39">
        <f t="shared" si="25"/>
        <v>181</v>
      </c>
      <c r="B204" s="52" t="s">
        <v>507</v>
      </c>
      <c r="C204" s="53">
        <v>46232</v>
      </c>
      <c r="D204" s="47" t="s">
        <v>63</v>
      </c>
      <c r="E204" s="52" t="s">
        <v>508</v>
      </c>
      <c r="F204" s="30">
        <v>65800</v>
      </c>
      <c r="G204" s="30">
        <f t="shared" si="26"/>
        <v>10528</v>
      </c>
      <c r="H204" s="30">
        <f t="shared" si="24"/>
        <v>76328</v>
      </c>
      <c r="I204" s="30" t="s">
        <v>15</v>
      </c>
      <c r="J204" s="53">
        <v>46249</v>
      </c>
      <c r="K204" s="47"/>
      <c r="L204" s="47" t="s">
        <v>299</v>
      </c>
      <c r="M204" s="47" t="s">
        <v>220</v>
      </c>
      <c r="N204" s="47">
        <v>519</v>
      </c>
      <c r="O204" s="54">
        <f t="shared" si="22"/>
        <v>7.29483282674772E-2</v>
      </c>
      <c r="P204" s="16">
        <v>4800</v>
      </c>
      <c r="Q204" s="16">
        <v>1200</v>
      </c>
      <c r="R204" s="16">
        <v>67000</v>
      </c>
      <c r="S204" s="54">
        <f t="shared" si="23"/>
        <v>1.7910447761194031E-2</v>
      </c>
    </row>
    <row r="205" spans="1:19" ht="21" customHeight="1" x14ac:dyDescent="0.3">
      <c r="A205" s="39">
        <f t="shared" si="25"/>
        <v>182</v>
      </c>
      <c r="B205" s="52" t="s">
        <v>509</v>
      </c>
      <c r="C205" s="53">
        <v>46232</v>
      </c>
      <c r="D205" s="47" t="s">
        <v>63</v>
      </c>
      <c r="E205" s="52" t="s">
        <v>510</v>
      </c>
      <c r="F205" s="30">
        <v>65800</v>
      </c>
      <c r="G205" s="30">
        <f t="shared" si="26"/>
        <v>10528</v>
      </c>
      <c r="H205" s="30">
        <f t="shared" si="24"/>
        <v>76328</v>
      </c>
      <c r="I205" s="30" t="s">
        <v>15</v>
      </c>
      <c r="J205" s="53">
        <v>46249</v>
      </c>
      <c r="K205" s="47"/>
      <c r="L205" s="47" t="s">
        <v>299</v>
      </c>
      <c r="M205" s="47" t="s">
        <v>220</v>
      </c>
      <c r="N205" s="47">
        <v>52</v>
      </c>
      <c r="O205" s="54">
        <f t="shared" si="22"/>
        <v>7.29483282674772E-2</v>
      </c>
      <c r="P205" s="16">
        <v>4800</v>
      </c>
      <c r="Q205" s="16">
        <v>1200</v>
      </c>
      <c r="R205" s="16">
        <v>67000</v>
      </c>
      <c r="S205" s="54">
        <f t="shared" si="23"/>
        <v>1.7910447761194031E-2</v>
      </c>
    </row>
    <row r="206" spans="1:19" ht="21" customHeight="1" x14ac:dyDescent="0.3">
      <c r="A206" s="39">
        <f t="shared" si="25"/>
        <v>183</v>
      </c>
      <c r="B206" s="52" t="s">
        <v>511</v>
      </c>
      <c r="C206" s="53">
        <v>46232</v>
      </c>
      <c r="D206" s="47" t="s">
        <v>63</v>
      </c>
      <c r="E206" s="52" t="s">
        <v>512</v>
      </c>
      <c r="F206" s="30">
        <v>44000</v>
      </c>
      <c r="G206" s="30">
        <f t="shared" si="26"/>
        <v>7040</v>
      </c>
      <c r="H206" s="30">
        <f t="shared" si="24"/>
        <v>51040</v>
      </c>
      <c r="I206" s="30" t="s">
        <v>15</v>
      </c>
      <c r="J206" s="53">
        <v>46249</v>
      </c>
      <c r="K206" s="47"/>
      <c r="L206" s="47" t="s">
        <v>299</v>
      </c>
      <c r="M206" s="47" t="s">
        <v>220</v>
      </c>
      <c r="N206" s="47">
        <v>521</v>
      </c>
      <c r="O206" s="54">
        <f t="shared" si="22"/>
        <v>9.0909090909090912E-2</v>
      </c>
      <c r="P206" s="16">
        <v>4000</v>
      </c>
      <c r="Q206" s="16">
        <v>1000</v>
      </c>
      <c r="R206" s="16">
        <v>45000</v>
      </c>
      <c r="S206" s="54">
        <f t="shared" si="23"/>
        <v>2.2222222222222223E-2</v>
      </c>
    </row>
    <row r="207" spans="1:19" ht="21" customHeight="1" x14ac:dyDescent="0.3">
      <c r="A207" s="39">
        <f t="shared" si="25"/>
        <v>184</v>
      </c>
      <c r="B207" s="52" t="s">
        <v>513</v>
      </c>
      <c r="C207" s="53">
        <v>46233</v>
      </c>
      <c r="D207" s="47" t="s">
        <v>106</v>
      </c>
      <c r="E207" s="52" t="s">
        <v>150</v>
      </c>
      <c r="F207" s="30">
        <v>1500</v>
      </c>
      <c r="G207" s="30">
        <f t="shared" si="26"/>
        <v>240</v>
      </c>
      <c r="H207" s="30">
        <f t="shared" si="24"/>
        <v>1740</v>
      </c>
      <c r="I207" s="30" t="s">
        <v>15</v>
      </c>
      <c r="J207" s="53">
        <v>46234</v>
      </c>
      <c r="K207" s="47"/>
      <c r="L207" s="47" t="s">
        <v>299</v>
      </c>
      <c r="M207" s="47"/>
      <c r="N207" s="47"/>
      <c r="O207" s="54">
        <f t="shared" si="22"/>
        <v>0</v>
      </c>
      <c r="P207" s="16"/>
      <c r="Q207" s="16"/>
      <c r="R207" s="16"/>
      <c r="S207" s="54" t="e">
        <f t="shared" si="23"/>
        <v>#DIV/0!</v>
      </c>
    </row>
    <row r="208" spans="1:19" ht="21" customHeight="1" x14ac:dyDescent="0.3">
      <c r="A208" s="39">
        <f t="shared" si="25"/>
        <v>185</v>
      </c>
      <c r="B208" s="52" t="s">
        <v>514</v>
      </c>
      <c r="C208" s="53">
        <v>46234</v>
      </c>
      <c r="D208" s="47" t="s">
        <v>63</v>
      </c>
      <c r="E208" s="52" t="s">
        <v>515</v>
      </c>
      <c r="F208" s="30">
        <v>3700</v>
      </c>
      <c r="G208" s="30">
        <f t="shared" si="26"/>
        <v>592</v>
      </c>
      <c r="H208" s="30">
        <f t="shared" si="24"/>
        <v>4292</v>
      </c>
      <c r="I208" s="30" t="s">
        <v>15</v>
      </c>
      <c r="J208" s="53">
        <v>46249</v>
      </c>
      <c r="K208" s="47"/>
      <c r="L208" s="47" t="s">
        <v>396</v>
      </c>
      <c r="M208" s="47" t="s">
        <v>383</v>
      </c>
      <c r="N208" s="47">
        <v>518</v>
      </c>
      <c r="O208" s="54">
        <f t="shared" si="22"/>
        <v>0.32432432432432434</v>
      </c>
      <c r="P208" s="16">
        <v>1200</v>
      </c>
      <c r="Q208" s="16">
        <v>300</v>
      </c>
      <c r="R208" s="16">
        <v>4000</v>
      </c>
      <c r="S208" s="54">
        <f t="shared" si="23"/>
        <v>7.4999999999999997E-2</v>
      </c>
    </row>
    <row r="209" spans="1:19" ht="21" customHeight="1" x14ac:dyDescent="0.3">
      <c r="A209" s="39">
        <f t="shared" si="25"/>
        <v>186</v>
      </c>
      <c r="B209" s="52" t="s">
        <v>516</v>
      </c>
      <c r="C209" s="53">
        <v>46234</v>
      </c>
      <c r="D209" s="47" t="s">
        <v>63</v>
      </c>
      <c r="E209" s="52" t="s">
        <v>517</v>
      </c>
      <c r="F209" s="30">
        <v>7000</v>
      </c>
      <c r="G209" s="30">
        <f t="shared" si="26"/>
        <v>1120</v>
      </c>
      <c r="H209" s="30">
        <f t="shared" si="24"/>
        <v>8120</v>
      </c>
      <c r="I209" s="30" t="s">
        <v>15</v>
      </c>
      <c r="J209" s="53">
        <v>46249</v>
      </c>
      <c r="K209" s="47"/>
      <c r="L209" s="47" t="s">
        <v>299</v>
      </c>
      <c r="M209" s="47" t="s">
        <v>383</v>
      </c>
      <c r="N209" s="47">
        <v>518</v>
      </c>
      <c r="O209" s="54">
        <f t="shared" si="22"/>
        <v>0.6428571428571429</v>
      </c>
      <c r="P209" s="16">
        <v>4500</v>
      </c>
      <c r="Q209" s="16">
        <v>900</v>
      </c>
      <c r="R209" s="16">
        <v>7000</v>
      </c>
      <c r="S209" s="54">
        <f t="shared" si="23"/>
        <v>0.12857142857142856</v>
      </c>
    </row>
    <row r="210" spans="1:19" ht="21" customHeight="1" x14ac:dyDescent="0.3">
      <c r="A210" s="39">
        <f t="shared" si="25"/>
        <v>187</v>
      </c>
      <c r="B210" s="52" t="s">
        <v>518</v>
      </c>
      <c r="C210" s="53">
        <v>46239</v>
      </c>
      <c r="D210" s="47" t="s">
        <v>63</v>
      </c>
      <c r="E210" s="52" t="s">
        <v>519</v>
      </c>
      <c r="F210" s="30">
        <v>3050</v>
      </c>
      <c r="G210" s="30">
        <f t="shared" si="26"/>
        <v>488</v>
      </c>
      <c r="H210" s="30">
        <f t="shared" si="24"/>
        <v>3538</v>
      </c>
      <c r="I210" s="30" t="s">
        <v>15</v>
      </c>
      <c r="J210" s="53">
        <v>46249</v>
      </c>
      <c r="K210" s="47"/>
      <c r="L210" s="47" t="s">
        <v>71</v>
      </c>
      <c r="M210" s="47" t="s">
        <v>220</v>
      </c>
      <c r="N210" s="47">
        <v>526</v>
      </c>
      <c r="O210" s="54">
        <f t="shared" si="22"/>
        <v>0.19672131147540983</v>
      </c>
      <c r="P210" s="16">
        <v>600</v>
      </c>
      <c r="Q210" s="16">
        <v>600</v>
      </c>
      <c r="R210" s="16">
        <v>3700</v>
      </c>
      <c r="S210" s="54">
        <f t="shared" si="23"/>
        <v>0.16216216216216217</v>
      </c>
    </row>
    <row r="211" spans="1:19" ht="21" customHeight="1" x14ac:dyDescent="0.3">
      <c r="A211" s="39">
        <f t="shared" si="25"/>
        <v>188</v>
      </c>
      <c r="B211" s="52" t="s">
        <v>520</v>
      </c>
      <c r="C211" s="53">
        <v>46239</v>
      </c>
      <c r="D211" s="47" t="s">
        <v>63</v>
      </c>
      <c r="E211" s="52" t="s">
        <v>521</v>
      </c>
      <c r="F211" s="30">
        <v>58904</v>
      </c>
      <c r="G211" s="30">
        <f t="shared" si="26"/>
        <v>9424.64</v>
      </c>
      <c r="H211" s="30">
        <f t="shared" si="24"/>
        <v>68328.639999999999</v>
      </c>
      <c r="I211" s="30" t="s">
        <v>15</v>
      </c>
      <c r="J211" s="53">
        <v>46249</v>
      </c>
      <c r="K211" s="47"/>
      <c r="L211" s="47" t="s">
        <v>299</v>
      </c>
      <c r="M211" s="47" t="s">
        <v>383</v>
      </c>
      <c r="N211" s="47">
        <v>521</v>
      </c>
      <c r="O211" s="54">
        <f t="shared" si="22"/>
        <v>0.38890397935624066</v>
      </c>
      <c r="P211" s="16">
        <v>22908</v>
      </c>
      <c r="Q211" s="16">
        <v>4692</v>
      </c>
      <c r="R211" s="16">
        <v>63600</v>
      </c>
      <c r="S211" s="54">
        <f t="shared" si="23"/>
        <v>7.3773584905660383E-2</v>
      </c>
    </row>
    <row r="212" spans="1:19" ht="21" customHeight="1" x14ac:dyDescent="0.3">
      <c r="A212" s="39">
        <f t="shared" si="25"/>
        <v>189</v>
      </c>
      <c r="B212" s="52" t="s">
        <v>522</v>
      </c>
      <c r="C212" s="53">
        <v>46239</v>
      </c>
      <c r="D212" s="47" t="s">
        <v>63</v>
      </c>
      <c r="E212" s="52" t="s">
        <v>523</v>
      </c>
      <c r="F212" s="30">
        <v>6725</v>
      </c>
      <c r="G212" s="30">
        <f t="shared" si="26"/>
        <v>1076</v>
      </c>
      <c r="H212" s="30">
        <f t="shared" si="24"/>
        <v>7801</v>
      </c>
      <c r="I212" s="30" t="s">
        <v>15</v>
      </c>
      <c r="J212" s="53">
        <v>46249</v>
      </c>
      <c r="K212" s="47" t="s">
        <v>524</v>
      </c>
      <c r="L212" s="47" t="s">
        <v>71</v>
      </c>
      <c r="M212" s="47" t="s">
        <v>220</v>
      </c>
      <c r="N212" s="47">
        <v>527</v>
      </c>
      <c r="O212" s="54">
        <f t="shared" si="22"/>
        <v>0.17472118959107807</v>
      </c>
      <c r="P212" s="16">
        <v>1175</v>
      </c>
      <c r="Q212" s="16">
        <v>1175</v>
      </c>
      <c r="R212" s="16">
        <v>7300</v>
      </c>
      <c r="S212" s="54">
        <f t="shared" si="23"/>
        <v>0.16095890410958905</v>
      </c>
    </row>
    <row r="213" spans="1:19" ht="21" customHeight="1" x14ac:dyDescent="0.3">
      <c r="A213" s="39">
        <f t="shared" si="25"/>
        <v>190</v>
      </c>
      <c r="B213" s="52" t="s">
        <v>525</v>
      </c>
      <c r="C213" s="53">
        <v>46240</v>
      </c>
      <c r="D213" s="47" t="s">
        <v>63</v>
      </c>
      <c r="E213" s="52" t="s">
        <v>526</v>
      </c>
      <c r="F213" s="30">
        <v>70560</v>
      </c>
      <c r="G213" s="30">
        <f t="shared" si="26"/>
        <v>11289.6</v>
      </c>
      <c r="H213" s="30">
        <f t="shared" si="24"/>
        <v>81849.600000000006</v>
      </c>
      <c r="I213" s="30" t="s">
        <v>15</v>
      </c>
      <c r="J213" s="53">
        <v>46249</v>
      </c>
      <c r="K213" s="47"/>
      <c r="L213" s="47" t="s">
        <v>299</v>
      </c>
      <c r="M213" s="47" t="s">
        <v>383</v>
      </c>
      <c r="N213" s="47"/>
      <c r="O213" s="54">
        <f t="shared" si="22"/>
        <v>7.8798185941043083E-2</v>
      </c>
      <c r="P213" s="16">
        <v>5560</v>
      </c>
      <c r="Q213" s="16">
        <v>1440</v>
      </c>
      <c r="R213" s="16">
        <v>72000</v>
      </c>
      <c r="S213" s="54">
        <f t="shared" si="23"/>
        <v>0.02</v>
      </c>
    </row>
    <row r="214" spans="1:19" ht="21" customHeight="1" x14ac:dyDescent="0.3">
      <c r="A214" s="39">
        <f t="shared" si="25"/>
        <v>191</v>
      </c>
      <c r="B214" s="52" t="s">
        <v>527</v>
      </c>
      <c r="C214" s="53">
        <v>46240</v>
      </c>
      <c r="D214" s="47" t="s">
        <v>63</v>
      </c>
      <c r="E214" s="52" t="s">
        <v>528</v>
      </c>
      <c r="F214" s="30">
        <v>70560</v>
      </c>
      <c r="G214" s="30">
        <f t="shared" si="26"/>
        <v>11289.6</v>
      </c>
      <c r="H214" s="30">
        <f t="shared" si="24"/>
        <v>81849.600000000006</v>
      </c>
      <c r="I214" s="30" t="s">
        <v>15</v>
      </c>
      <c r="J214" s="53">
        <v>46249</v>
      </c>
      <c r="K214" s="47"/>
      <c r="L214" s="47" t="s">
        <v>299</v>
      </c>
      <c r="M214" s="47" t="s">
        <v>383</v>
      </c>
      <c r="N214" s="47"/>
      <c r="O214" s="54">
        <f t="shared" si="22"/>
        <v>7.8798185941043083E-2</v>
      </c>
      <c r="P214" s="16">
        <v>5560</v>
      </c>
      <c r="Q214" s="16">
        <v>1440</v>
      </c>
      <c r="R214" s="16">
        <v>72000</v>
      </c>
      <c r="S214" s="54">
        <f t="shared" si="23"/>
        <v>0.02</v>
      </c>
    </row>
    <row r="215" spans="1:19" ht="21" customHeight="1" x14ac:dyDescent="0.3">
      <c r="A215" s="39">
        <f t="shared" si="25"/>
        <v>192</v>
      </c>
      <c r="B215" s="52" t="s">
        <v>529</v>
      </c>
      <c r="C215" s="53">
        <v>46240</v>
      </c>
      <c r="D215" s="47" t="s">
        <v>63</v>
      </c>
      <c r="E215" s="52" t="s">
        <v>530</v>
      </c>
      <c r="F215" s="30">
        <v>70560</v>
      </c>
      <c r="G215" s="30">
        <f t="shared" si="26"/>
        <v>11289.6</v>
      </c>
      <c r="H215" s="30">
        <f t="shared" si="24"/>
        <v>81849.600000000006</v>
      </c>
      <c r="I215" s="30" t="s">
        <v>15</v>
      </c>
      <c r="J215" s="53">
        <v>46249</v>
      </c>
      <c r="K215" s="47"/>
      <c r="L215" s="47" t="s">
        <v>299</v>
      </c>
      <c r="M215" s="47" t="s">
        <v>383</v>
      </c>
      <c r="N215" s="47"/>
      <c r="O215" s="54">
        <f t="shared" si="22"/>
        <v>7.8798185941043083E-2</v>
      </c>
      <c r="P215" s="16">
        <v>5560</v>
      </c>
      <c r="Q215" s="16">
        <v>1440</v>
      </c>
      <c r="R215" s="16">
        <v>72000</v>
      </c>
      <c r="S215" s="54">
        <f t="shared" si="23"/>
        <v>0.02</v>
      </c>
    </row>
    <row r="216" spans="1:19" ht="21" customHeight="1" x14ac:dyDescent="0.3">
      <c r="A216" s="39">
        <f t="shared" si="25"/>
        <v>193</v>
      </c>
      <c r="B216" s="52" t="s">
        <v>531</v>
      </c>
      <c r="C216" s="53">
        <v>46240</v>
      </c>
      <c r="D216" s="47" t="s">
        <v>63</v>
      </c>
      <c r="E216" s="52" t="s">
        <v>532</v>
      </c>
      <c r="F216" s="30">
        <v>70560</v>
      </c>
      <c r="G216" s="30">
        <f t="shared" si="26"/>
        <v>11289.6</v>
      </c>
      <c r="H216" s="30">
        <f t="shared" si="24"/>
        <v>81849.600000000006</v>
      </c>
      <c r="I216" s="30" t="s">
        <v>15</v>
      </c>
      <c r="J216" s="53">
        <v>46249</v>
      </c>
      <c r="K216" s="47"/>
      <c r="L216" s="47" t="s">
        <v>299</v>
      </c>
      <c r="M216" s="47" t="s">
        <v>383</v>
      </c>
      <c r="N216" s="47"/>
      <c r="O216" s="54">
        <f t="shared" si="22"/>
        <v>7.8798185941043083E-2</v>
      </c>
      <c r="P216" s="16">
        <v>5560</v>
      </c>
      <c r="Q216" s="16">
        <v>1440</v>
      </c>
      <c r="R216" s="16">
        <v>72000</v>
      </c>
      <c r="S216" s="54">
        <f t="shared" si="23"/>
        <v>0.02</v>
      </c>
    </row>
    <row r="217" spans="1:19" ht="21" customHeight="1" x14ac:dyDescent="0.3">
      <c r="A217" s="39">
        <f t="shared" si="25"/>
        <v>194</v>
      </c>
      <c r="B217" s="52" t="s">
        <v>533</v>
      </c>
      <c r="C217" s="53">
        <v>46240</v>
      </c>
      <c r="D217" s="47" t="s">
        <v>63</v>
      </c>
      <c r="E217" s="52" t="s">
        <v>534</v>
      </c>
      <c r="F217" s="30">
        <v>70560</v>
      </c>
      <c r="G217" s="30">
        <f t="shared" si="26"/>
        <v>11289.6</v>
      </c>
      <c r="H217" s="30">
        <f t="shared" si="24"/>
        <v>81849.600000000006</v>
      </c>
      <c r="I217" s="30" t="s">
        <v>15</v>
      </c>
      <c r="J217" s="53">
        <v>46249</v>
      </c>
      <c r="K217" s="47"/>
      <c r="L217" s="47" t="s">
        <v>299</v>
      </c>
      <c r="M217" s="47" t="s">
        <v>383</v>
      </c>
      <c r="N217" s="47"/>
      <c r="O217" s="54">
        <f t="shared" si="22"/>
        <v>7.8798185941043083E-2</v>
      </c>
      <c r="P217" s="16">
        <v>5560</v>
      </c>
      <c r="Q217" s="16">
        <v>1440</v>
      </c>
      <c r="R217" s="16">
        <v>72000</v>
      </c>
      <c r="S217" s="54">
        <f t="shared" si="23"/>
        <v>0.02</v>
      </c>
    </row>
    <row r="218" spans="1:19" ht="21" customHeight="1" x14ac:dyDescent="0.3">
      <c r="A218" s="39">
        <f t="shared" si="25"/>
        <v>195</v>
      </c>
      <c r="B218" s="52" t="s">
        <v>535</v>
      </c>
      <c r="C218" s="53">
        <v>46240</v>
      </c>
      <c r="D218" s="47" t="s">
        <v>63</v>
      </c>
      <c r="E218" s="52" t="s">
        <v>536</v>
      </c>
      <c r="F218" s="30">
        <v>54750</v>
      </c>
      <c r="G218" s="30">
        <f t="shared" si="26"/>
        <v>8760</v>
      </c>
      <c r="H218" s="30">
        <f t="shared" si="24"/>
        <v>63510</v>
      </c>
      <c r="I218" s="30" t="s">
        <v>15</v>
      </c>
      <c r="J218" s="53">
        <v>46249</v>
      </c>
      <c r="K218" s="47"/>
      <c r="L218" s="47" t="s">
        <v>299</v>
      </c>
      <c r="M218" s="47" t="s">
        <v>220</v>
      </c>
      <c r="N218" s="47">
        <v>529</v>
      </c>
      <c r="O218" s="54">
        <f t="shared" si="22"/>
        <v>0.14155251141552511</v>
      </c>
      <c r="P218" s="16">
        <v>7750</v>
      </c>
      <c r="Q218" s="16">
        <v>1250</v>
      </c>
      <c r="R218" s="16">
        <v>56000</v>
      </c>
      <c r="S218" s="54">
        <f t="shared" si="23"/>
        <v>2.2321428571428572E-2</v>
      </c>
    </row>
    <row r="219" spans="1:19" ht="21" customHeight="1" x14ac:dyDescent="0.3">
      <c r="A219" s="39">
        <f t="shared" si="25"/>
        <v>196</v>
      </c>
      <c r="B219" s="52" t="s">
        <v>537</v>
      </c>
      <c r="C219" s="53">
        <v>46240</v>
      </c>
      <c r="D219" s="47" t="s">
        <v>63</v>
      </c>
      <c r="E219" s="52" t="s">
        <v>538</v>
      </c>
      <c r="F219" s="30">
        <v>70450</v>
      </c>
      <c r="G219" s="30">
        <f t="shared" si="26"/>
        <v>11272</v>
      </c>
      <c r="H219" s="30">
        <f t="shared" si="24"/>
        <v>81722</v>
      </c>
      <c r="I219" s="30" t="s">
        <v>15</v>
      </c>
      <c r="J219" s="53">
        <v>46249</v>
      </c>
      <c r="K219" s="47"/>
      <c r="L219" s="47" t="s">
        <v>299</v>
      </c>
      <c r="M219" s="47" t="s">
        <v>220</v>
      </c>
      <c r="N219" s="47">
        <v>528</v>
      </c>
      <c r="O219" s="54">
        <f t="shared" si="22"/>
        <v>9.5812633073101491E-2</v>
      </c>
      <c r="P219" s="16">
        <v>6750</v>
      </c>
      <c r="Q219" s="16">
        <v>1250</v>
      </c>
      <c r="R219" s="16">
        <v>72000</v>
      </c>
      <c r="S219" s="54">
        <f t="shared" si="23"/>
        <v>1.7361111111111112E-2</v>
      </c>
    </row>
    <row r="220" spans="1:19" ht="21" customHeight="1" x14ac:dyDescent="0.3">
      <c r="A220" s="39">
        <f t="shared" si="25"/>
        <v>197</v>
      </c>
      <c r="B220" s="56" t="s">
        <v>539</v>
      </c>
      <c r="C220" s="57" t="s">
        <v>112</v>
      </c>
      <c r="D220" s="59" t="s">
        <v>63</v>
      </c>
      <c r="E220" s="56"/>
      <c r="F220" s="58"/>
      <c r="G220" s="58">
        <f t="shared" si="26"/>
        <v>0</v>
      </c>
      <c r="H220" s="58">
        <f t="shared" si="24"/>
        <v>0</v>
      </c>
      <c r="I220" s="58" t="s">
        <v>15</v>
      </c>
      <c r="J220" s="57"/>
      <c r="K220" s="59"/>
      <c r="L220" s="59" t="s">
        <v>299</v>
      </c>
      <c r="M220" s="59"/>
      <c r="N220" s="59"/>
      <c r="O220" s="76" t="e">
        <f t="shared" si="22"/>
        <v>#DIV/0!</v>
      </c>
      <c r="P220" s="58"/>
      <c r="Q220" s="58"/>
      <c r="R220" s="58"/>
      <c r="S220" s="76" t="e">
        <f t="shared" si="23"/>
        <v>#DIV/0!</v>
      </c>
    </row>
    <row r="221" spans="1:19" ht="21" customHeight="1" x14ac:dyDescent="0.3">
      <c r="A221" s="39">
        <f t="shared" si="25"/>
        <v>198</v>
      </c>
      <c r="B221" s="56" t="s">
        <v>540</v>
      </c>
      <c r="C221" s="57" t="s">
        <v>112</v>
      </c>
      <c r="D221" s="59" t="s">
        <v>63</v>
      </c>
      <c r="E221" s="56"/>
      <c r="F221" s="58"/>
      <c r="G221" s="58">
        <f t="shared" si="26"/>
        <v>0</v>
      </c>
      <c r="H221" s="58">
        <f t="shared" si="24"/>
        <v>0</v>
      </c>
      <c r="I221" s="58" t="s">
        <v>15</v>
      </c>
      <c r="J221" s="57"/>
      <c r="K221" s="59"/>
      <c r="L221" s="59" t="s">
        <v>299</v>
      </c>
      <c r="M221" s="59"/>
      <c r="N221" s="59"/>
      <c r="O221" s="76" t="e">
        <f t="shared" ref="O221:O255" si="27">P221/F221</f>
        <v>#DIV/0!</v>
      </c>
      <c r="P221" s="58"/>
      <c r="Q221" s="58"/>
      <c r="R221" s="58"/>
      <c r="S221" s="76" t="e">
        <f t="shared" si="23"/>
        <v>#DIV/0!</v>
      </c>
    </row>
    <row r="222" spans="1:19" ht="21" customHeight="1" x14ac:dyDescent="0.3">
      <c r="A222" s="39">
        <f t="shared" si="25"/>
        <v>199</v>
      </c>
      <c r="B222" s="56" t="s">
        <v>541</v>
      </c>
      <c r="C222" s="57" t="s">
        <v>112</v>
      </c>
      <c r="D222" s="59" t="s">
        <v>63</v>
      </c>
      <c r="E222" s="56"/>
      <c r="F222" s="58"/>
      <c r="G222" s="58">
        <f t="shared" si="26"/>
        <v>0</v>
      </c>
      <c r="H222" s="58">
        <f t="shared" si="24"/>
        <v>0</v>
      </c>
      <c r="I222" s="58" t="s">
        <v>15</v>
      </c>
      <c r="J222" s="57"/>
      <c r="K222" s="59"/>
      <c r="L222" s="59" t="s">
        <v>299</v>
      </c>
      <c r="M222" s="59"/>
      <c r="N222" s="59"/>
      <c r="O222" s="76" t="e">
        <f t="shared" si="27"/>
        <v>#DIV/0!</v>
      </c>
      <c r="P222" s="58"/>
      <c r="Q222" s="58"/>
      <c r="R222" s="58"/>
      <c r="S222" s="76" t="e">
        <f t="shared" si="23"/>
        <v>#DIV/0!</v>
      </c>
    </row>
    <row r="223" spans="1:19" ht="21" customHeight="1" x14ac:dyDescent="0.3">
      <c r="A223" s="39">
        <f t="shared" si="25"/>
        <v>200</v>
      </c>
      <c r="B223" s="56" t="s">
        <v>542</v>
      </c>
      <c r="C223" s="57" t="s">
        <v>112</v>
      </c>
      <c r="D223" s="59" t="s">
        <v>63</v>
      </c>
      <c r="E223" s="56"/>
      <c r="F223" s="58"/>
      <c r="G223" s="58">
        <f t="shared" si="26"/>
        <v>0</v>
      </c>
      <c r="H223" s="58">
        <f t="shared" si="24"/>
        <v>0</v>
      </c>
      <c r="I223" s="58" t="s">
        <v>15</v>
      </c>
      <c r="J223" s="57"/>
      <c r="K223" s="59"/>
      <c r="L223" s="59" t="s">
        <v>299</v>
      </c>
      <c r="M223" s="59"/>
      <c r="N223" s="59"/>
      <c r="O223" s="76" t="e">
        <f t="shared" si="27"/>
        <v>#DIV/0!</v>
      </c>
      <c r="P223" s="58"/>
      <c r="Q223" s="58"/>
      <c r="R223" s="58"/>
      <c r="S223" s="76" t="e">
        <f t="shared" si="23"/>
        <v>#DIV/0!</v>
      </c>
    </row>
    <row r="224" spans="1:19" ht="21" customHeight="1" x14ac:dyDescent="0.3">
      <c r="A224" s="39">
        <f t="shared" si="25"/>
        <v>201</v>
      </c>
      <c r="B224" s="52" t="s">
        <v>543</v>
      </c>
      <c r="C224" s="53">
        <v>46244</v>
      </c>
      <c r="D224" s="47" t="s">
        <v>63</v>
      </c>
      <c r="E224" s="52" t="s">
        <v>544</v>
      </c>
      <c r="F224" s="30">
        <v>4940</v>
      </c>
      <c r="G224" s="30">
        <f t="shared" si="26"/>
        <v>790.4</v>
      </c>
      <c r="H224" s="30">
        <f t="shared" si="24"/>
        <v>5730.4</v>
      </c>
      <c r="I224" s="30" t="s">
        <v>15</v>
      </c>
      <c r="J224" s="53">
        <v>46249</v>
      </c>
      <c r="K224" s="47"/>
      <c r="L224" s="47" t="s">
        <v>299</v>
      </c>
      <c r="M224" s="47" t="s">
        <v>260</v>
      </c>
      <c r="N224" s="47">
        <v>532</v>
      </c>
      <c r="O224" s="54">
        <f t="shared" si="27"/>
        <v>0.291497975708502</v>
      </c>
      <c r="P224" s="16">
        <v>1440</v>
      </c>
      <c r="Q224" s="16">
        <v>360</v>
      </c>
      <c r="R224" s="16">
        <v>5300</v>
      </c>
      <c r="S224" s="54">
        <f t="shared" si="23"/>
        <v>6.7924528301886791E-2</v>
      </c>
    </row>
    <row r="225" spans="1:19" ht="21" customHeight="1" x14ac:dyDescent="0.3">
      <c r="A225" s="39">
        <f t="shared" si="25"/>
        <v>202</v>
      </c>
      <c r="B225" s="52" t="s">
        <v>545</v>
      </c>
      <c r="C225" s="53">
        <v>46244</v>
      </c>
      <c r="D225" s="47" t="s">
        <v>63</v>
      </c>
      <c r="E225" s="52" t="s">
        <v>546</v>
      </c>
      <c r="F225" s="30">
        <v>54750</v>
      </c>
      <c r="G225" s="30">
        <f t="shared" si="26"/>
        <v>8760</v>
      </c>
      <c r="H225" s="30">
        <f t="shared" si="24"/>
        <v>63510</v>
      </c>
      <c r="I225" s="30" t="s">
        <v>15</v>
      </c>
      <c r="J225" s="53">
        <v>46249</v>
      </c>
      <c r="K225" s="47"/>
      <c r="L225" s="47" t="s">
        <v>299</v>
      </c>
      <c r="M225" s="47" t="s">
        <v>23</v>
      </c>
      <c r="N225" s="47"/>
      <c r="O225" s="54">
        <f t="shared" si="27"/>
        <v>0.37899543378995432</v>
      </c>
      <c r="P225" s="16">
        <v>20750</v>
      </c>
      <c r="Q225" s="16">
        <v>1250</v>
      </c>
      <c r="R225" s="16">
        <v>56000</v>
      </c>
      <c r="S225" s="54">
        <f t="shared" si="23"/>
        <v>2.2321428571428572E-2</v>
      </c>
    </row>
    <row r="226" spans="1:19" ht="21" customHeight="1" x14ac:dyDescent="0.3">
      <c r="A226" s="39">
        <f t="shared" si="25"/>
        <v>203</v>
      </c>
      <c r="B226" s="52" t="s">
        <v>547</v>
      </c>
      <c r="C226" s="53">
        <v>46244</v>
      </c>
      <c r="D226" s="47" t="s">
        <v>63</v>
      </c>
      <c r="E226" s="52" t="s">
        <v>548</v>
      </c>
      <c r="F226" s="30">
        <v>70750</v>
      </c>
      <c r="G226" s="30">
        <f t="shared" si="26"/>
        <v>11320</v>
      </c>
      <c r="H226" s="30">
        <f t="shared" si="24"/>
        <v>82070</v>
      </c>
      <c r="I226" s="30" t="s">
        <v>15</v>
      </c>
      <c r="J226" s="53">
        <v>46249</v>
      </c>
      <c r="K226" s="47"/>
      <c r="L226" s="47" t="s">
        <v>299</v>
      </c>
      <c r="M226" s="47" t="s">
        <v>23</v>
      </c>
      <c r="N226" s="47"/>
      <c r="O226" s="54">
        <f t="shared" si="27"/>
        <v>0</v>
      </c>
      <c r="P226" s="16"/>
      <c r="Q226" s="16"/>
      <c r="R226" s="16">
        <v>72000</v>
      </c>
      <c r="S226" s="54">
        <f t="shared" si="23"/>
        <v>0</v>
      </c>
    </row>
    <row r="227" spans="1:19" ht="21" customHeight="1" x14ac:dyDescent="0.3">
      <c r="A227" s="39">
        <f t="shared" si="25"/>
        <v>204</v>
      </c>
      <c r="B227" s="52" t="s">
        <v>549</v>
      </c>
      <c r="C227" s="53">
        <v>46244</v>
      </c>
      <c r="D227" s="47" t="s">
        <v>63</v>
      </c>
      <c r="E227" s="52" t="s">
        <v>550</v>
      </c>
      <c r="F227" s="30">
        <v>600</v>
      </c>
      <c r="G227" s="30">
        <f t="shared" si="26"/>
        <v>96</v>
      </c>
      <c r="H227" s="30">
        <f t="shared" si="24"/>
        <v>696</v>
      </c>
      <c r="I227" s="30" t="s">
        <v>15</v>
      </c>
      <c r="J227" s="53">
        <v>46310</v>
      </c>
      <c r="K227" s="47"/>
      <c r="L227" s="47" t="s">
        <v>299</v>
      </c>
      <c r="M227" s="47" t="s">
        <v>220</v>
      </c>
      <c r="N227" s="47">
        <v>532</v>
      </c>
      <c r="O227" s="54">
        <f t="shared" si="27"/>
        <v>0.125</v>
      </c>
      <c r="P227" s="16">
        <v>75</v>
      </c>
      <c r="Q227" s="16">
        <v>75</v>
      </c>
      <c r="R227" s="16">
        <v>600</v>
      </c>
      <c r="S227" s="54">
        <f t="shared" si="23"/>
        <v>0.125</v>
      </c>
    </row>
    <row r="228" spans="1:19" ht="21" customHeight="1" x14ac:dyDescent="0.3">
      <c r="A228" s="39">
        <f t="shared" si="25"/>
        <v>205</v>
      </c>
      <c r="B228" s="89" t="s">
        <v>551</v>
      </c>
      <c r="C228" s="78"/>
      <c r="D228" s="14" t="s">
        <v>63</v>
      </c>
      <c r="E228" s="77"/>
      <c r="F228" s="16"/>
      <c r="G228" s="87">
        <f t="shared" si="26"/>
        <v>0</v>
      </c>
      <c r="H228" s="87">
        <f t="shared" si="24"/>
        <v>0</v>
      </c>
      <c r="I228" s="16" t="s">
        <v>552</v>
      </c>
      <c r="J228" s="78"/>
      <c r="K228" s="14"/>
      <c r="L228" s="14"/>
      <c r="M228" s="14"/>
      <c r="N228" s="14"/>
      <c r="O228" s="88" t="e">
        <f t="shared" si="27"/>
        <v>#DIV/0!</v>
      </c>
      <c r="P228" s="16"/>
      <c r="Q228" s="16"/>
      <c r="R228" s="16"/>
      <c r="S228" s="88" t="e">
        <f t="shared" si="23"/>
        <v>#DIV/0!</v>
      </c>
    </row>
    <row r="229" spans="1:19" ht="21" customHeight="1" x14ac:dyDescent="0.3">
      <c r="A229" s="39">
        <f t="shared" si="25"/>
        <v>206</v>
      </c>
      <c r="B229" s="77" t="s">
        <v>553</v>
      </c>
      <c r="C229" s="78"/>
      <c r="D229" s="14" t="s">
        <v>63</v>
      </c>
      <c r="E229" s="77"/>
      <c r="F229" s="16"/>
      <c r="G229" s="16">
        <f t="shared" si="26"/>
        <v>0</v>
      </c>
      <c r="H229" s="16">
        <f t="shared" si="24"/>
        <v>0</v>
      </c>
      <c r="I229" s="16" t="s">
        <v>552</v>
      </c>
      <c r="J229" s="78"/>
      <c r="K229" s="14"/>
      <c r="L229" s="14"/>
      <c r="M229" s="14"/>
      <c r="N229" s="14"/>
      <c r="O229" s="54" t="e">
        <f t="shared" si="27"/>
        <v>#DIV/0!</v>
      </c>
      <c r="P229" s="16"/>
      <c r="Q229" s="16"/>
      <c r="R229" s="16"/>
      <c r="S229" s="54" t="e">
        <f t="shared" si="23"/>
        <v>#DIV/0!</v>
      </c>
    </row>
    <row r="230" spans="1:19" ht="21" customHeight="1" x14ac:dyDescent="0.3">
      <c r="A230" s="39">
        <f t="shared" si="25"/>
        <v>207</v>
      </c>
      <c r="B230" s="77" t="s">
        <v>554</v>
      </c>
      <c r="C230" s="78"/>
      <c r="D230" s="14" t="s">
        <v>63</v>
      </c>
      <c r="E230" s="77"/>
      <c r="F230" s="16"/>
      <c r="G230" s="16">
        <f t="shared" si="26"/>
        <v>0</v>
      </c>
      <c r="H230" s="16">
        <f t="shared" si="24"/>
        <v>0</v>
      </c>
      <c r="I230" s="16" t="s">
        <v>552</v>
      </c>
      <c r="J230" s="78"/>
      <c r="K230" s="14"/>
      <c r="L230" s="14"/>
      <c r="M230" s="14"/>
      <c r="N230" s="14"/>
      <c r="O230" s="54" t="e">
        <f t="shared" si="27"/>
        <v>#DIV/0!</v>
      </c>
      <c r="P230" s="16"/>
      <c r="Q230" s="16"/>
      <c r="R230" s="16"/>
      <c r="S230" s="54" t="e">
        <f t="shared" si="23"/>
        <v>#DIV/0!</v>
      </c>
    </row>
    <row r="231" spans="1:19" ht="21" customHeight="1" x14ac:dyDescent="0.3">
      <c r="A231" s="39">
        <f t="shared" si="25"/>
        <v>208</v>
      </c>
      <c r="B231" s="77" t="s">
        <v>555</v>
      </c>
      <c r="C231" s="78"/>
      <c r="D231" s="14" t="s">
        <v>63</v>
      </c>
      <c r="E231" s="77"/>
      <c r="F231" s="16"/>
      <c r="G231" s="16">
        <f t="shared" si="26"/>
        <v>0</v>
      </c>
      <c r="H231" s="16">
        <f t="shared" si="24"/>
        <v>0</v>
      </c>
      <c r="I231" s="16" t="s">
        <v>552</v>
      </c>
      <c r="J231" s="78"/>
      <c r="K231" s="14"/>
      <c r="L231" s="14"/>
      <c r="M231" s="14"/>
      <c r="N231" s="14"/>
      <c r="O231" s="54" t="e">
        <f t="shared" si="27"/>
        <v>#DIV/0!</v>
      </c>
      <c r="P231" s="16"/>
      <c r="Q231" s="16"/>
      <c r="R231" s="16"/>
      <c r="S231" s="54" t="e">
        <f t="shared" si="23"/>
        <v>#DIV/0!</v>
      </c>
    </row>
    <row r="232" spans="1:19" ht="21" customHeight="1" x14ac:dyDescent="0.3">
      <c r="A232" s="39">
        <f t="shared" si="25"/>
        <v>209</v>
      </c>
      <c r="B232" s="77" t="s">
        <v>556</v>
      </c>
      <c r="C232" s="78"/>
      <c r="D232" s="14" t="s">
        <v>63</v>
      </c>
      <c r="E232" s="77"/>
      <c r="F232" s="16"/>
      <c r="G232" s="16">
        <f t="shared" si="26"/>
        <v>0</v>
      </c>
      <c r="H232" s="16">
        <f t="shared" si="24"/>
        <v>0</v>
      </c>
      <c r="I232" s="16" t="s">
        <v>552</v>
      </c>
      <c r="J232" s="78"/>
      <c r="K232" s="14"/>
      <c r="L232" s="14"/>
      <c r="M232" s="14"/>
      <c r="N232" s="14"/>
      <c r="O232" s="54" t="e">
        <f t="shared" si="27"/>
        <v>#DIV/0!</v>
      </c>
      <c r="P232" s="16"/>
      <c r="Q232" s="16"/>
      <c r="R232" s="16"/>
      <c r="S232" s="54" t="e">
        <f t="shared" si="23"/>
        <v>#DIV/0!</v>
      </c>
    </row>
    <row r="233" spans="1:19" ht="21" customHeight="1" x14ac:dyDescent="0.3">
      <c r="A233" s="39">
        <f t="shared" si="25"/>
        <v>210</v>
      </c>
      <c r="B233" s="77" t="s">
        <v>557</v>
      </c>
      <c r="C233" s="78"/>
      <c r="D233" s="14" t="s">
        <v>63</v>
      </c>
      <c r="E233" s="77"/>
      <c r="F233" s="16"/>
      <c r="G233" s="16">
        <f t="shared" si="26"/>
        <v>0</v>
      </c>
      <c r="H233" s="16">
        <f t="shared" si="24"/>
        <v>0</v>
      </c>
      <c r="I233" s="16" t="s">
        <v>552</v>
      </c>
      <c r="J233" s="78"/>
      <c r="K233" s="14"/>
      <c r="L233" s="14"/>
      <c r="M233" s="14"/>
      <c r="N233" s="14"/>
      <c r="O233" s="54" t="e">
        <f t="shared" si="27"/>
        <v>#DIV/0!</v>
      </c>
      <c r="P233" s="16"/>
      <c r="Q233" s="16"/>
      <c r="R233" s="16"/>
      <c r="S233" s="54" t="e">
        <f t="shared" si="23"/>
        <v>#DIV/0!</v>
      </c>
    </row>
    <row r="234" spans="1:19" ht="21" customHeight="1" x14ac:dyDescent="0.3">
      <c r="A234" s="39">
        <f t="shared" si="25"/>
        <v>211</v>
      </c>
      <c r="B234" s="77" t="s">
        <v>558</v>
      </c>
      <c r="C234" s="78"/>
      <c r="D234" s="14" t="s">
        <v>63</v>
      </c>
      <c r="E234" s="77"/>
      <c r="F234" s="16"/>
      <c r="G234" s="16">
        <f t="shared" si="26"/>
        <v>0</v>
      </c>
      <c r="H234" s="16">
        <f t="shared" si="24"/>
        <v>0</v>
      </c>
      <c r="I234" s="16" t="s">
        <v>552</v>
      </c>
      <c r="J234" s="78"/>
      <c r="K234" s="14"/>
      <c r="L234" s="14"/>
      <c r="M234" s="14"/>
      <c r="N234" s="14"/>
      <c r="O234" s="54" t="e">
        <f t="shared" si="27"/>
        <v>#DIV/0!</v>
      </c>
      <c r="P234" s="16"/>
      <c r="Q234" s="16"/>
      <c r="R234" s="16"/>
      <c r="S234" s="54" t="e">
        <f t="shared" si="23"/>
        <v>#DIV/0!</v>
      </c>
    </row>
    <row r="235" spans="1:19" ht="21" customHeight="1" x14ac:dyDescent="0.3">
      <c r="A235" s="39">
        <f t="shared" si="25"/>
        <v>212</v>
      </c>
      <c r="B235" s="77" t="s">
        <v>559</v>
      </c>
      <c r="C235" s="78"/>
      <c r="D235" s="14" t="s">
        <v>63</v>
      </c>
      <c r="E235" s="77"/>
      <c r="F235" s="16"/>
      <c r="G235" s="16">
        <f t="shared" si="26"/>
        <v>0</v>
      </c>
      <c r="H235" s="16">
        <f t="shared" si="24"/>
        <v>0</v>
      </c>
      <c r="I235" s="16" t="s">
        <v>552</v>
      </c>
      <c r="J235" s="78"/>
      <c r="K235" s="14"/>
      <c r="L235" s="14"/>
      <c r="M235" s="14"/>
      <c r="N235" s="14"/>
      <c r="O235" s="54" t="e">
        <f t="shared" si="27"/>
        <v>#DIV/0!</v>
      </c>
      <c r="P235" s="16"/>
      <c r="Q235" s="16"/>
      <c r="R235" s="16"/>
      <c r="S235" s="54" t="e">
        <f t="shared" si="23"/>
        <v>#DIV/0!</v>
      </c>
    </row>
    <row r="236" spans="1:19" ht="21" customHeight="1" x14ac:dyDescent="0.3">
      <c r="A236" s="39">
        <f t="shared" si="25"/>
        <v>213</v>
      </c>
      <c r="B236" s="77" t="s">
        <v>560</v>
      </c>
      <c r="C236" s="78"/>
      <c r="D236" s="14" t="s">
        <v>63</v>
      </c>
      <c r="E236" s="77"/>
      <c r="F236" s="16"/>
      <c r="G236" s="16">
        <f t="shared" si="26"/>
        <v>0</v>
      </c>
      <c r="H236" s="16">
        <f t="shared" si="24"/>
        <v>0</v>
      </c>
      <c r="I236" s="16" t="s">
        <v>552</v>
      </c>
      <c r="J236" s="78"/>
      <c r="K236" s="14"/>
      <c r="L236" s="14"/>
      <c r="M236" s="14"/>
      <c r="N236" s="14"/>
      <c r="O236" s="54" t="e">
        <f t="shared" si="27"/>
        <v>#DIV/0!</v>
      </c>
      <c r="P236" s="16"/>
      <c r="Q236" s="16"/>
      <c r="R236" s="16"/>
      <c r="S236" s="54" t="e">
        <f t="shared" si="23"/>
        <v>#DIV/0!</v>
      </c>
    </row>
    <row r="237" spans="1:19" ht="21" customHeight="1" x14ac:dyDescent="0.3">
      <c r="A237" s="39">
        <f t="shared" si="25"/>
        <v>214</v>
      </c>
      <c r="B237" s="77" t="s">
        <v>561</v>
      </c>
      <c r="C237" s="78"/>
      <c r="D237" s="14" t="s">
        <v>63</v>
      </c>
      <c r="E237" s="77"/>
      <c r="F237" s="16"/>
      <c r="G237" s="16">
        <f t="shared" si="26"/>
        <v>0</v>
      </c>
      <c r="H237" s="16">
        <f t="shared" si="24"/>
        <v>0</v>
      </c>
      <c r="I237" s="16" t="s">
        <v>552</v>
      </c>
      <c r="J237" s="78"/>
      <c r="K237" s="14"/>
      <c r="L237" s="14"/>
      <c r="M237" s="14"/>
      <c r="N237" s="14"/>
      <c r="O237" s="54" t="e">
        <f t="shared" si="27"/>
        <v>#DIV/0!</v>
      </c>
      <c r="P237" s="16"/>
      <c r="Q237" s="16"/>
      <c r="R237" s="16"/>
      <c r="S237" s="54" t="e">
        <f t="shared" si="23"/>
        <v>#DIV/0!</v>
      </c>
    </row>
    <row r="238" spans="1:19" ht="21" customHeight="1" x14ac:dyDescent="0.3">
      <c r="A238" s="39">
        <f t="shared" si="25"/>
        <v>215</v>
      </c>
      <c r="B238" s="77" t="s">
        <v>562</v>
      </c>
      <c r="C238" s="78"/>
      <c r="D238" s="14" t="s">
        <v>63</v>
      </c>
      <c r="E238" s="77"/>
      <c r="F238" s="16"/>
      <c r="G238" s="16">
        <f t="shared" si="26"/>
        <v>0</v>
      </c>
      <c r="H238" s="16">
        <f t="shared" si="24"/>
        <v>0</v>
      </c>
      <c r="I238" s="16" t="s">
        <v>552</v>
      </c>
      <c r="J238" s="78"/>
      <c r="K238" s="14"/>
      <c r="L238" s="14"/>
      <c r="M238" s="14"/>
      <c r="N238" s="14"/>
      <c r="O238" s="54" t="e">
        <f t="shared" si="27"/>
        <v>#DIV/0!</v>
      </c>
      <c r="P238" s="16"/>
      <c r="Q238" s="16"/>
      <c r="R238" s="16"/>
      <c r="S238" s="54" t="e">
        <f t="shared" si="23"/>
        <v>#DIV/0!</v>
      </c>
    </row>
    <row r="239" spans="1:19" ht="21" customHeight="1" x14ac:dyDescent="0.3">
      <c r="A239" s="39">
        <f t="shared" si="25"/>
        <v>216</v>
      </c>
      <c r="B239" s="77" t="s">
        <v>563</v>
      </c>
      <c r="C239" s="78"/>
      <c r="D239" s="14" t="s">
        <v>63</v>
      </c>
      <c r="E239" s="77"/>
      <c r="F239" s="16"/>
      <c r="G239" s="16">
        <f t="shared" si="26"/>
        <v>0</v>
      </c>
      <c r="H239" s="16">
        <f t="shared" si="24"/>
        <v>0</v>
      </c>
      <c r="I239" s="16" t="s">
        <v>552</v>
      </c>
      <c r="J239" s="78"/>
      <c r="K239" s="14"/>
      <c r="L239" s="14"/>
      <c r="M239" s="14"/>
      <c r="N239" s="14"/>
      <c r="O239" s="54" t="e">
        <f t="shared" si="27"/>
        <v>#DIV/0!</v>
      </c>
      <c r="P239" s="16"/>
      <c r="Q239" s="16"/>
      <c r="R239" s="16"/>
      <c r="S239" s="54" t="e">
        <f t="shared" si="23"/>
        <v>#DIV/0!</v>
      </c>
    </row>
    <row r="240" spans="1:19" ht="21" customHeight="1" x14ac:dyDescent="0.3">
      <c r="A240" s="39">
        <f t="shared" si="25"/>
        <v>217</v>
      </c>
      <c r="B240" s="77" t="s">
        <v>564</v>
      </c>
      <c r="C240" s="78"/>
      <c r="D240" s="14" t="s">
        <v>63</v>
      </c>
      <c r="E240" s="77"/>
      <c r="F240" s="16"/>
      <c r="G240" s="16">
        <f t="shared" si="26"/>
        <v>0</v>
      </c>
      <c r="H240" s="16">
        <f t="shared" si="24"/>
        <v>0</v>
      </c>
      <c r="I240" s="16" t="s">
        <v>552</v>
      </c>
      <c r="J240" s="78"/>
      <c r="K240" s="14"/>
      <c r="L240" s="14"/>
      <c r="M240" s="14"/>
      <c r="N240" s="14"/>
      <c r="O240" s="54" t="e">
        <f t="shared" si="27"/>
        <v>#DIV/0!</v>
      </c>
      <c r="P240" s="16"/>
      <c r="Q240" s="16"/>
      <c r="R240" s="16"/>
      <c r="S240" s="54" t="e">
        <f t="shared" si="23"/>
        <v>#DIV/0!</v>
      </c>
    </row>
    <row r="241" spans="1:19" ht="21" customHeight="1" x14ac:dyDescent="0.3">
      <c r="A241" s="39">
        <f t="shared" si="25"/>
        <v>218</v>
      </c>
      <c r="B241" s="77" t="s">
        <v>565</v>
      </c>
      <c r="C241" s="78"/>
      <c r="D241" s="14" t="s">
        <v>63</v>
      </c>
      <c r="E241" s="77"/>
      <c r="F241" s="16"/>
      <c r="G241" s="16">
        <f t="shared" si="26"/>
        <v>0</v>
      </c>
      <c r="H241" s="16">
        <f t="shared" si="24"/>
        <v>0</v>
      </c>
      <c r="I241" s="16" t="s">
        <v>552</v>
      </c>
      <c r="J241" s="78"/>
      <c r="K241" s="14"/>
      <c r="L241" s="14"/>
      <c r="M241" s="14"/>
      <c r="N241" s="14"/>
      <c r="O241" s="54" t="e">
        <f t="shared" si="27"/>
        <v>#DIV/0!</v>
      </c>
      <c r="P241" s="16"/>
      <c r="Q241" s="16"/>
      <c r="R241" s="16"/>
      <c r="S241" s="54" t="e">
        <f t="shared" si="23"/>
        <v>#DIV/0!</v>
      </c>
    </row>
    <row r="242" spans="1:19" ht="21" customHeight="1" x14ac:dyDescent="0.3">
      <c r="A242" s="39">
        <f t="shared" si="25"/>
        <v>219</v>
      </c>
      <c r="B242" s="77" t="s">
        <v>566</v>
      </c>
      <c r="C242" s="78"/>
      <c r="D242" s="14" t="s">
        <v>63</v>
      </c>
      <c r="E242" s="77"/>
      <c r="F242" s="16"/>
      <c r="G242" s="16">
        <f t="shared" si="26"/>
        <v>0</v>
      </c>
      <c r="H242" s="16">
        <f t="shared" si="24"/>
        <v>0</v>
      </c>
      <c r="I242" s="16" t="s">
        <v>552</v>
      </c>
      <c r="J242" s="78"/>
      <c r="K242" s="14"/>
      <c r="L242" s="14"/>
      <c r="M242" s="14"/>
      <c r="N242" s="14"/>
      <c r="O242" s="54" t="e">
        <f t="shared" si="27"/>
        <v>#DIV/0!</v>
      </c>
      <c r="P242" s="16"/>
      <c r="Q242" s="16"/>
      <c r="R242" s="16"/>
      <c r="S242" s="54" t="e">
        <f t="shared" si="23"/>
        <v>#DIV/0!</v>
      </c>
    </row>
    <row r="243" spans="1:19" ht="21" customHeight="1" x14ac:dyDescent="0.3">
      <c r="A243" s="39">
        <f t="shared" si="25"/>
        <v>220</v>
      </c>
      <c r="B243" s="77" t="s">
        <v>567</v>
      </c>
      <c r="C243" s="78"/>
      <c r="D243" s="14" t="s">
        <v>63</v>
      </c>
      <c r="E243" s="77"/>
      <c r="F243" s="16"/>
      <c r="G243" s="16">
        <f t="shared" si="26"/>
        <v>0</v>
      </c>
      <c r="H243" s="16">
        <f t="shared" si="24"/>
        <v>0</v>
      </c>
      <c r="I243" s="16" t="s">
        <v>552</v>
      </c>
      <c r="J243" s="78"/>
      <c r="K243" s="14"/>
      <c r="L243" s="14"/>
      <c r="M243" s="14"/>
      <c r="N243" s="14"/>
      <c r="O243" s="54" t="e">
        <f t="shared" si="27"/>
        <v>#DIV/0!</v>
      </c>
      <c r="P243" s="16"/>
      <c r="Q243" s="16"/>
      <c r="R243" s="16"/>
      <c r="S243" s="54" t="e">
        <f t="shared" si="23"/>
        <v>#DIV/0!</v>
      </c>
    </row>
    <row r="244" spans="1:19" ht="21" customHeight="1" x14ac:dyDescent="0.3">
      <c r="A244" s="39">
        <f t="shared" si="25"/>
        <v>221</v>
      </c>
      <c r="B244" s="77" t="s">
        <v>568</v>
      </c>
      <c r="C244" s="78"/>
      <c r="D244" s="14" t="s">
        <v>63</v>
      </c>
      <c r="E244" s="77"/>
      <c r="F244" s="16"/>
      <c r="G244" s="16">
        <f t="shared" si="26"/>
        <v>0</v>
      </c>
      <c r="H244" s="16">
        <f t="shared" si="24"/>
        <v>0</v>
      </c>
      <c r="I244" s="16" t="s">
        <v>552</v>
      </c>
      <c r="J244" s="78"/>
      <c r="K244" s="14"/>
      <c r="L244" s="14"/>
      <c r="M244" s="14"/>
      <c r="N244" s="14"/>
      <c r="O244" s="54" t="e">
        <f t="shared" si="27"/>
        <v>#DIV/0!</v>
      </c>
      <c r="P244" s="16"/>
      <c r="Q244" s="16"/>
      <c r="R244" s="16"/>
      <c r="S244" s="54" t="e">
        <f t="shared" si="23"/>
        <v>#DIV/0!</v>
      </c>
    </row>
    <row r="245" spans="1:19" ht="21" customHeight="1" x14ac:dyDescent="0.3">
      <c r="A245" s="39">
        <f t="shared" si="25"/>
        <v>222</v>
      </c>
      <c r="B245" s="77" t="s">
        <v>569</v>
      </c>
      <c r="C245" s="78"/>
      <c r="D245" s="14" t="s">
        <v>63</v>
      </c>
      <c r="E245" s="77"/>
      <c r="F245" s="16"/>
      <c r="G245" s="16">
        <f t="shared" si="26"/>
        <v>0</v>
      </c>
      <c r="H245" s="16">
        <f t="shared" si="24"/>
        <v>0</v>
      </c>
      <c r="I245" s="16" t="s">
        <v>552</v>
      </c>
      <c r="J245" s="78"/>
      <c r="K245" s="14"/>
      <c r="L245" s="14"/>
      <c r="M245" s="14"/>
      <c r="N245" s="14"/>
      <c r="O245" s="54" t="e">
        <f t="shared" si="27"/>
        <v>#DIV/0!</v>
      </c>
      <c r="P245" s="16"/>
      <c r="Q245" s="16"/>
      <c r="R245" s="16"/>
      <c r="S245" s="54" t="e">
        <f t="shared" si="23"/>
        <v>#DIV/0!</v>
      </c>
    </row>
    <row r="246" spans="1:19" ht="21" customHeight="1" x14ac:dyDescent="0.3">
      <c r="A246" s="39">
        <f t="shared" si="25"/>
        <v>223</v>
      </c>
      <c r="B246" s="77" t="s">
        <v>570</v>
      </c>
      <c r="C246" s="78"/>
      <c r="D246" s="14" t="s">
        <v>63</v>
      </c>
      <c r="E246" s="77"/>
      <c r="F246" s="16"/>
      <c r="G246" s="16">
        <f t="shared" si="26"/>
        <v>0</v>
      </c>
      <c r="H246" s="16">
        <f t="shared" si="24"/>
        <v>0</v>
      </c>
      <c r="I246" s="16" t="s">
        <v>552</v>
      </c>
      <c r="J246" s="78"/>
      <c r="K246" s="14"/>
      <c r="L246" s="14"/>
      <c r="M246" s="14"/>
      <c r="N246" s="14"/>
      <c r="O246" s="54" t="e">
        <f t="shared" si="27"/>
        <v>#DIV/0!</v>
      </c>
      <c r="P246" s="16"/>
      <c r="Q246" s="16"/>
      <c r="R246" s="16"/>
      <c r="S246" s="54" t="e">
        <f t="shared" si="23"/>
        <v>#DIV/0!</v>
      </c>
    </row>
    <row r="247" spans="1:19" ht="21" customHeight="1" x14ac:dyDescent="0.3">
      <c r="A247" s="39">
        <f t="shared" si="25"/>
        <v>224</v>
      </c>
      <c r="B247" s="77" t="s">
        <v>571</v>
      </c>
      <c r="C247" s="78"/>
      <c r="D247" s="14" t="s">
        <v>63</v>
      </c>
      <c r="E247" s="77"/>
      <c r="F247" s="16"/>
      <c r="G247" s="16">
        <f t="shared" si="26"/>
        <v>0</v>
      </c>
      <c r="H247" s="16">
        <f t="shared" si="24"/>
        <v>0</v>
      </c>
      <c r="I247" s="16" t="s">
        <v>552</v>
      </c>
      <c r="J247" s="78"/>
      <c r="K247" s="14"/>
      <c r="L247" s="14"/>
      <c r="M247" s="14"/>
      <c r="N247" s="14"/>
      <c r="O247" s="54" t="e">
        <f t="shared" si="27"/>
        <v>#DIV/0!</v>
      </c>
      <c r="P247" s="16"/>
      <c r="Q247" s="16"/>
      <c r="R247" s="16"/>
      <c r="S247" s="54" t="e">
        <f t="shared" si="23"/>
        <v>#DIV/0!</v>
      </c>
    </row>
    <row r="248" spans="1:19" ht="21" customHeight="1" x14ac:dyDescent="0.3">
      <c r="A248" s="39">
        <f t="shared" si="25"/>
        <v>225</v>
      </c>
      <c r="B248" s="77" t="s">
        <v>572</v>
      </c>
      <c r="C248" s="78"/>
      <c r="D248" s="14" t="s">
        <v>63</v>
      </c>
      <c r="E248" s="77"/>
      <c r="F248" s="16"/>
      <c r="G248" s="16">
        <f t="shared" si="26"/>
        <v>0</v>
      </c>
      <c r="H248" s="16">
        <f t="shared" si="24"/>
        <v>0</v>
      </c>
      <c r="I248" s="16" t="s">
        <v>552</v>
      </c>
      <c r="J248" s="78"/>
      <c r="K248" s="14"/>
      <c r="L248" s="14"/>
      <c r="M248" s="14"/>
      <c r="N248" s="14"/>
      <c r="O248" s="54" t="e">
        <f t="shared" si="27"/>
        <v>#DIV/0!</v>
      </c>
      <c r="P248" s="16"/>
      <c r="Q248" s="16"/>
      <c r="R248" s="16"/>
      <c r="S248" s="54" t="e">
        <f t="shared" si="23"/>
        <v>#DIV/0!</v>
      </c>
    </row>
    <row r="249" spans="1:19" ht="21" customHeight="1" x14ac:dyDescent="0.3">
      <c r="A249" s="39">
        <f t="shared" si="25"/>
        <v>226</v>
      </c>
      <c r="B249" s="77" t="s">
        <v>573</v>
      </c>
      <c r="C249" s="78"/>
      <c r="D249" s="14" t="s">
        <v>63</v>
      </c>
      <c r="E249" s="77"/>
      <c r="F249" s="16"/>
      <c r="G249" s="16">
        <f t="shared" si="26"/>
        <v>0</v>
      </c>
      <c r="H249" s="16">
        <f t="shared" si="24"/>
        <v>0</v>
      </c>
      <c r="I249" s="16" t="s">
        <v>552</v>
      </c>
      <c r="J249" s="78"/>
      <c r="K249" s="14"/>
      <c r="L249" s="14"/>
      <c r="M249" s="14"/>
      <c r="N249" s="14"/>
      <c r="O249" s="54" t="e">
        <f t="shared" si="27"/>
        <v>#DIV/0!</v>
      </c>
      <c r="P249" s="16"/>
      <c r="Q249" s="16"/>
      <c r="R249" s="16"/>
      <c r="S249" s="54" t="e">
        <f t="shared" si="23"/>
        <v>#DIV/0!</v>
      </c>
    </row>
    <row r="250" spans="1:19" ht="21" customHeight="1" x14ac:dyDescent="0.3">
      <c r="A250" s="39">
        <f t="shared" si="25"/>
        <v>227</v>
      </c>
      <c r="B250" s="77" t="s">
        <v>574</v>
      </c>
      <c r="C250" s="78"/>
      <c r="D250" s="14" t="s">
        <v>63</v>
      </c>
      <c r="E250" s="77"/>
      <c r="F250" s="16"/>
      <c r="G250" s="16">
        <f t="shared" si="26"/>
        <v>0</v>
      </c>
      <c r="H250" s="16">
        <f t="shared" si="24"/>
        <v>0</v>
      </c>
      <c r="I250" s="16" t="s">
        <v>552</v>
      </c>
      <c r="J250" s="78"/>
      <c r="K250" s="14"/>
      <c r="L250" s="14"/>
      <c r="M250" s="14"/>
      <c r="N250" s="14"/>
      <c r="O250" s="54" t="e">
        <f t="shared" si="27"/>
        <v>#DIV/0!</v>
      </c>
      <c r="P250" s="16"/>
      <c r="Q250" s="16"/>
      <c r="R250" s="16"/>
      <c r="S250" s="54" t="e">
        <f t="shared" ref="S250:S255" si="28">Q250/R250</f>
        <v>#DIV/0!</v>
      </c>
    </row>
    <row r="251" spans="1:19" ht="21" customHeight="1" x14ac:dyDescent="0.3">
      <c r="A251" s="39">
        <f t="shared" si="25"/>
        <v>228</v>
      </c>
      <c r="B251" s="77" t="s">
        <v>575</v>
      </c>
      <c r="C251" s="78"/>
      <c r="D251" s="14" t="s">
        <v>63</v>
      </c>
      <c r="E251" s="77"/>
      <c r="F251" s="16"/>
      <c r="G251" s="16">
        <f t="shared" si="26"/>
        <v>0</v>
      </c>
      <c r="H251" s="16">
        <f t="shared" si="24"/>
        <v>0</v>
      </c>
      <c r="I251" s="16" t="s">
        <v>552</v>
      </c>
      <c r="J251" s="78"/>
      <c r="K251" s="14"/>
      <c r="L251" s="14"/>
      <c r="M251" s="14"/>
      <c r="N251" s="14"/>
      <c r="O251" s="54" t="e">
        <f t="shared" si="27"/>
        <v>#DIV/0!</v>
      </c>
      <c r="P251" s="16"/>
      <c r="Q251" s="16"/>
      <c r="R251" s="16"/>
      <c r="S251" s="54" t="e">
        <f t="shared" si="28"/>
        <v>#DIV/0!</v>
      </c>
    </row>
    <row r="252" spans="1:19" ht="21" customHeight="1" x14ac:dyDescent="0.3">
      <c r="A252" s="39">
        <f t="shared" si="25"/>
        <v>229</v>
      </c>
      <c r="B252" s="77" t="s">
        <v>576</v>
      </c>
      <c r="C252" s="78"/>
      <c r="D252" s="14" t="s">
        <v>63</v>
      </c>
      <c r="E252" s="77"/>
      <c r="F252" s="16"/>
      <c r="G252" s="16">
        <f t="shared" si="26"/>
        <v>0</v>
      </c>
      <c r="H252" s="16">
        <f t="shared" si="24"/>
        <v>0</v>
      </c>
      <c r="I252" s="16" t="s">
        <v>552</v>
      </c>
      <c r="J252" s="78"/>
      <c r="K252" s="14"/>
      <c r="L252" s="14"/>
      <c r="M252" s="14"/>
      <c r="N252" s="14"/>
      <c r="O252" s="54" t="e">
        <f t="shared" si="27"/>
        <v>#DIV/0!</v>
      </c>
      <c r="P252" s="16"/>
      <c r="Q252" s="16"/>
      <c r="R252" s="16"/>
      <c r="S252" s="54" t="e">
        <f t="shared" si="28"/>
        <v>#DIV/0!</v>
      </c>
    </row>
    <row r="253" spans="1:19" ht="21" customHeight="1" x14ac:dyDescent="0.3">
      <c r="A253" s="39">
        <f t="shared" si="25"/>
        <v>230</v>
      </c>
      <c r="B253" s="77" t="s">
        <v>577</v>
      </c>
      <c r="C253" s="78"/>
      <c r="D253" s="14" t="s">
        <v>63</v>
      </c>
      <c r="E253" s="77"/>
      <c r="F253" s="16"/>
      <c r="G253" s="16">
        <f t="shared" si="26"/>
        <v>0</v>
      </c>
      <c r="H253" s="16">
        <f t="shared" si="24"/>
        <v>0</v>
      </c>
      <c r="I253" s="16" t="s">
        <v>552</v>
      </c>
      <c r="J253" s="78"/>
      <c r="K253" s="14"/>
      <c r="L253" s="14"/>
      <c r="M253" s="14"/>
      <c r="N253" s="14"/>
      <c r="O253" s="54" t="e">
        <f t="shared" si="27"/>
        <v>#DIV/0!</v>
      </c>
      <c r="P253" s="16"/>
      <c r="Q253" s="16"/>
      <c r="R253" s="16"/>
      <c r="S253" s="54" t="e">
        <f t="shared" si="28"/>
        <v>#DIV/0!</v>
      </c>
    </row>
    <row r="254" spans="1:19" ht="21" customHeight="1" x14ac:dyDescent="0.3">
      <c r="A254" s="39">
        <f t="shared" si="25"/>
        <v>231</v>
      </c>
      <c r="B254" s="77" t="s">
        <v>578</v>
      </c>
      <c r="C254" s="78"/>
      <c r="D254" s="14" t="s">
        <v>63</v>
      </c>
      <c r="E254" s="77"/>
      <c r="F254" s="16"/>
      <c r="G254" s="16">
        <f t="shared" si="26"/>
        <v>0</v>
      </c>
      <c r="H254" s="16">
        <f t="shared" ref="H254:H255" si="29">F254+G254</f>
        <v>0</v>
      </c>
      <c r="I254" s="16" t="s">
        <v>552</v>
      </c>
      <c r="J254" s="78"/>
      <c r="K254" s="14"/>
      <c r="L254" s="14"/>
      <c r="M254" s="14"/>
      <c r="N254" s="14"/>
      <c r="O254" s="54" t="e">
        <f t="shared" si="27"/>
        <v>#DIV/0!</v>
      </c>
      <c r="P254" s="16"/>
      <c r="Q254" s="16"/>
      <c r="R254" s="16"/>
      <c r="S254" s="54" t="e">
        <f t="shared" si="28"/>
        <v>#DIV/0!</v>
      </c>
    </row>
    <row r="255" spans="1:19" ht="21" customHeight="1" x14ac:dyDescent="0.3">
      <c r="A255" s="39">
        <f t="shared" si="25"/>
        <v>232</v>
      </c>
      <c r="B255" s="77" t="s">
        <v>579</v>
      </c>
      <c r="C255" s="78"/>
      <c r="D255" s="14" t="s">
        <v>63</v>
      </c>
      <c r="E255" s="77"/>
      <c r="F255" s="16"/>
      <c r="G255" s="16">
        <f t="shared" si="26"/>
        <v>0</v>
      </c>
      <c r="H255" s="16">
        <f t="shared" si="29"/>
        <v>0</v>
      </c>
      <c r="I255" s="16" t="s">
        <v>552</v>
      </c>
      <c r="J255" s="78"/>
      <c r="K255" s="14"/>
      <c r="L255" s="14"/>
      <c r="M255" s="14"/>
      <c r="N255" s="14"/>
      <c r="O255" s="54" t="e">
        <f t="shared" si="27"/>
        <v>#DIV/0!</v>
      </c>
      <c r="P255" s="16"/>
      <c r="Q255" s="16"/>
      <c r="R255" s="16"/>
      <c r="S255" s="54" t="e">
        <f t="shared" si="28"/>
        <v>#DIV/0!</v>
      </c>
    </row>
    <row r="256" spans="1:19" ht="21" customHeight="1" x14ac:dyDescent="0.3">
      <c r="F256" s="21">
        <f>SUMIF(I3:I255,"C",F3:F255)</f>
        <v>0</v>
      </c>
      <c r="G256" s="21">
        <f>SUMIF(I3:I255,"C",G3:G255)</f>
        <v>0</v>
      </c>
      <c r="H256" s="85">
        <f ca="1">SUMIF(I3:I256,"C",H3:H255)</f>
        <v>0</v>
      </c>
      <c r="I256" s="22"/>
    </row>
    <row r="258" spans="3:8" ht="21" customHeight="1" thickBot="1" x14ac:dyDescent="0.35"/>
    <row r="259" spans="3:8" ht="21" customHeight="1" thickBot="1" x14ac:dyDescent="0.35">
      <c r="C259" s="24" t="s">
        <v>10</v>
      </c>
      <c r="D259" s="25" t="s">
        <v>11</v>
      </c>
      <c r="F259" s="25" t="s">
        <v>12</v>
      </c>
      <c r="G259" s="25" t="s">
        <v>13</v>
      </c>
      <c r="H259" s="26" t="s">
        <v>14</v>
      </c>
    </row>
    <row r="260" spans="3:8" ht="21" customHeight="1" thickBot="1" x14ac:dyDescent="0.35">
      <c r="C260" s="35">
        <f>'Pagos de la quincena'!G128</f>
        <v>970</v>
      </c>
      <c r="D260" s="35">
        <f>'Pagos de la quincena'!H128</f>
        <v>48</v>
      </c>
      <c r="F260" s="35">
        <f>'Pagos de la quincena'!I128</f>
        <v>16</v>
      </c>
      <c r="G260" s="35">
        <f>'Pagos de la quincena'!J128</f>
        <v>8</v>
      </c>
      <c r="H260" s="35">
        <f>'Pagos de la quincena'!K128</f>
        <v>994</v>
      </c>
    </row>
    <row r="263" spans="3:8" ht="21" customHeight="1" x14ac:dyDescent="0.3">
      <c r="F263" s="14" t="s">
        <v>7</v>
      </c>
      <c r="G263" s="16">
        <f>C260</f>
        <v>970</v>
      </c>
    </row>
    <row r="264" spans="3:8" ht="21" customHeight="1" x14ac:dyDescent="0.3">
      <c r="F264" s="14" t="s">
        <v>580</v>
      </c>
      <c r="G264" s="16">
        <f>G256-D260</f>
        <v>-48</v>
      </c>
    </row>
    <row r="265" spans="3:8" ht="21" customHeight="1" x14ac:dyDescent="0.3">
      <c r="F265" s="14" t="s">
        <v>581</v>
      </c>
      <c r="G265" s="16">
        <f>F260</f>
        <v>16</v>
      </c>
    </row>
    <row r="266" spans="3:8" ht="21" customHeight="1" thickBot="1" x14ac:dyDescent="0.35">
      <c r="F266" s="79" t="s">
        <v>40</v>
      </c>
      <c r="G266" s="80">
        <f>G260</f>
        <v>8</v>
      </c>
    </row>
    <row r="267" spans="3:8" ht="21" customHeight="1" thickBot="1" x14ac:dyDescent="0.35">
      <c r="F267" s="81" t="s">
        <v>14</v>
      </c>
      <c r="G267" s="82">
        <f>SUM(G263:G266)</f>
        <v>946</v>
      </c>
    </row>
    <row r="269" spans="3:8" ht="21" customHeight="1" x14ac:dyDescent="0.3">
      <c r="F269" s="10" t="s">
        <v>582</v>
      </c>
      <c r="G269" s="83">
        <f ca="1">H256-G267</f>
        <v>-946</v>
      </c>
    </row>
  </sheetData>
  <mergeCells count="2">
    <mergeCell ref="F1:H1"/>
    <mergeCell ref="D2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A9E2-5050-4F47-A818-68B6247BA563}">
  <dimension ref="C3"/>
  <sheetViews>
    <sheetView workbookViewId="0">
      <selection activeCell="D3" sqref="D3"/>
    </sheetView>
  </sheetViews>
  <sheetFormatPr baseColWidth="10" defaultRowHeight="14.4" x14ac:dyDescent="0.3"/>
  <cols>
    <col min="3" max="3" width="18.6640625" bestFit="1" customWidth="1"/>
    <col min="4" max="4" width="21.6640625" customWidth="1"/>
  </cols>
  <sheetData>
    <row r="3" spans="3:3" x14ac:dyDescent="0.3">
      <c r="C3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Administracion</vt:lpstr>
      <vt:lpstr>Pagos de la quincena</vt:lpstr>
      <vt:lpstr>Consecutivo 2026</vt:lpstr>
      <vt:lpstr>Hoja1</vt:lpstr>
      <vt:lpstr>'Pagos de la quincena'!Área_de_impresión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Miranda</dc:creator>
  <cp:lastModifiedBy>Maria de Jesus Perez Arana</cp:lastModifiedBy>
  <dcterms:created xsi:type="dcterms:W3CDTF">2026-08-22T17:17:43Z</dcterms:created>
  <dcterms:modified xsi:type="dcterms:W3CDTF">2026-10-08T17:18:02Z</dcterms:modified>
</cp:coreProperties>
</file>